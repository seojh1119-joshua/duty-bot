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32B2760-569E-497D-8678-01FD318AFD25}" xr6:coauthVersionLast="47" xr6:coauthVersionMax="47" xr10:uidLastSave="{00000000-0000-0000-0000-000000000000}"/>
  <bookViews>
    <workbookView xWindow="28680" yWindow="-120" windowWidth="29040" windowHeight="15720" activeTab="1" xr2:uid="{C402E2EC-9EB1-4911-8A50-66334E817E37}"/>
  </bookViews>
  <sheets>
    <sheet name="달력" sheetId="1" r:id="rId1"/>
    <sheet name="숙직근무자" sheetId="2" r:id="rId2"/>
    <sheet name="공휴일" sheetId="3" r:id="rId3"/>
    <sheet name="야근횟수&amp;비번" sheetId="6" r:id="rId4"/>
    <sheet name="잔업시간" sheetId="7" r:id="rId5"/>
    <sheet name="의료과 개인별 초과근무내역" sheetId="8" r:id="rId6"/>
    <sheet name="중식" sheetId="9" r:id="rId7"/>
  </sheets>
  <externalReferences>
    <externalReference r:id="rId8"/>
  </externalReferences>
  <definedNames>
    <definedName name="A" localSheetId="5">[1]잔업시간!#REF!</definedName>
    <definedName name="A">잔업시간!#REF!</definedName>
    <definedName name="_xlnm.Print_Area" localSheetId="0">달력!$B$1:$H$12</definedName>
    <definedName name="_xlnm.Print_Area" localSheetId="1">숙직근무자!$A$1:$K$899</definedName>
    <definedName name="_xlnm.Print_Area" localSheetId="3">'야근횟수&amp;비번'!$A$1:$L$23</definedName>
    <definedName name="_xlnm.Print_Area" localSheetId="5">'의료과 개인별 초과근무내역'!$A$1:$I$32</definedName>
    <definedName name="_xlnm.Print_Area" localSheetId="4">잔업시간!$A$1:$N$24</definedName>
    <definedName name="_xlnm.Print_Titles" localSheetId="5">'의료과 개인별 초과근무내역'!$1:$5</definedName>
    <definedName name="_xlnm.Print_Titles" localSheetId="4">잔업시간!$1:$2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1" l="1"/>
  <c r="H899" i="2"/>
  <c r="I899" i="2"/>
  <c r="J899" i="2"/>
  <c r="K899" i="2"/>
  <c r="L899" i="2"/>
  <c r="M899" i="2"/>
  <c r="H896" i="2"/>
  <c r="I896" i="2"/>
  <c r="J896" i="2"/>
  <c r="K896" i="2"/>
  <c r="L896" i="2"/>
  <c r="M896" i="2"/>
  <c r="H897" i="2"/>
  <c r="I897" i="2"/>
  <c r="J897" i="2"/>
  <c r="K897" i="2"/>
  <c r="L897" i="2"/>
  <c r="M897" i="2"/>
  <c r="H898" i="2"/>
  <c r="I898" i="2"/>
  <c r="J898" i="2"/>
  <c r="K898" i="2"/>
  <c r="L898" i="2"/>
  <c r="M898" i="2"/>
  <c r="H890" i="2"/>
  <c r="I890" i="2"/>
  <c r="J890" i="2"/>
  <c r="K890" i="2"/>
  <c r="L890" i="2"/>
  <c r="M890" i="2"/>
  <c r="H891" i="2"/>
  <c r="I891" i="2"/>
  <c r="J891" i="2"/>
  <c r="K891" i="2"/>
  <c r="L891" i="2"/>
  <c r="M891" i="2"/>
  <c r="H892" i="2"/>
  <c r="I892" i="2"/>
  <c r="J892" i="2"/>
  <c r="K892" i="2"/>
  <c r="L892" i="2"/>
  <c r="M892" i="2"/>
  <c r="H893" i="2"/>
  <c r="I893" i="2"/>
  <c r="J893" i="2"/>
  <c r="K893" i="2"/>
  <c r="L893" i="2"/>
  <c r="M893" i="2"/>
  <c r="H894" i="2"/>
  <c r="I894" i="2"/>
  <c r="J894" i="2"/>
  <c r="K894" i="2"/>
  <c r="L894" i="2"/>
  <c r="M894" i="2"/>
  <c r="H895" i="2"/>
  <c r="I895" i="2"/>
  <c r="J895" i="2"/>
  <c r="K895" i="2"/>
  <c r="L895" i="2"/>
  <c r="M895" i="2"/>
  <c r="H868" i="2"/>
  <c r="I868" i="2"/>
  <c r="J868" i="2"/>
  <c r="K868" i="2"/>
  <c r="L868" i="2"/>
  <c r="M868" i="2"/>
  <c r="H869" i="2"/>
  <c r="I869" i="2"/>
  <c r="J869" i="2"/>
  <c r="K869" i="2"/>
  <c r="L869" i="2"/>
  <c r="M869" i="2"/>
  <c r="H870" i="2"/>
  <c r="I870" i="2"/>
  <c r="J870" i="2"/>
  <c r="K870" i="2"/>
  <c r="L870" i="2"/>
  <c r="M870" i="2"/>
  <c r="H871" i="2"/>
  <c r="I871" i="2"/>
  <c r="J871" i="2"/>
  <c r="K871" i="2"/>
  <c r="L871" i="2"/>
  <c r="M871" i="2"/>
  <c r="H872" i="2"/>
  <c r="I872" i="2"/>
  <c r="J872" i="2"/>
  <c r="K872" i="2"/>
  <c r="L872" i="2"/>
  <c r="M872" i="2"/>
  <c r="H873" i="2"/>
  <c r="I873" i="2"/>
  <c r="J873" i="2"/>
  <c r="K873" i="2"/>
  <c r="L873" i="2"/>
  <c r="M873" i="2"/>
  <c r="H874" i="2"/>
  <c r="I874" i="2"/>
  <c r="J874" i="2"/>
  <c r="K874" i="2"/>
  <c r="L874" i="2"/>
  <c r="M874" i="2"/>
  <c r="H875" i="2"/>
  <c r="I875" i="2"/>
  <c r="J875" i="2"/>
  <c r="K875" i="2"/>
  <c r="L875" i="2"/>
  <c r="M875" i="2"/>
  <c r="H876" i="2"/>
  <c r="I876" i="2"/>
  <c r="J876" i="2"/>
  <c r="K876" i="2"/>
  <c r="L876" i="2"/>
  <c r="M876" i="2"/>
  <c r="H877" i="2"/>
  <c r="I877" i="2"/>
  <c r="J877" i="2"/>
  <c r="K877" i="2"/>
  <c r="L877" i="2"/>
  <c r="M877" i="2"/>
  <c r="H878" i="2"/>
  <c r="I878" i="2"/>
  <c r="J878" i="2"/>
  <c r="K878" i="2"/>
  <c r="L878" i="2"/>
  <c r="M878" i="2"/>
  <c r="H879" i="2"/>
  <c r="I879" i="2"/>
  <c r="J879" i="2"/>
  <c r="K879" i="2"/>
  <c r="L879" i="2"/>
  <c r="M879" i="2"/>
  <c r="H880" i="2"/>
  <c r="I880" i="2"/>
  <c r="J880" i="2"/>
  <c r="K880" i="2"/>
  <c r="L880" i="2"/>
  <c r="M880" i="2"/>
  <c r="H881" i="2"/>
  <c r="I881" i="2"/>
  <c r="J881" i="2"/>
  <c r="K881" i="2"/>
  <c r="L881" i="2"/>
  <c r="M881" i="2"/>
  <c r="H882" i="2"/>
  <c r="I882" i="2"/>
  <c r="J882" i="2"/>
  <c r="K882" i="2"/>
  <c r="L882" i="2"/>
  <c r="M882" i="2"/>
  <c r="H883" i="2"/>
  <c r="I883" i="2"/>
  <c r="J883" i="2"/>
  <c r="K883" i="2"/>
  <c r="L883" i="2"/>
  <c r="M883" i="2"/>
  <c r="H884" i="2"/>
  <c r="I884" i="2"/>
  <c r="J884" i="2"/>
  <c r="K884" i="2"/>
  <c r="L884" i="2"/>
  <c r="M884" i="2"/>
  <c r="H885" i="2"/>
  <c r="I885" i="2"/>
  <c r="J885" i="2"/>
  <c r="K885" i="2"/>
  <c r="L885" i="2"/>
  <c r="M885" i="2"/>
  <c r="H886" i="2"/>
  <c r="I886" i="2"/>
  <c r="J886" i="2"/>
  <c r="K886" i="2"/>
  <c r="L886" i="2"/>
  <c r="M886" i="2"/>
  <c r="H887" i="2"/>
  <c r="I887" i="2"/>
  <c r="J887" i="2"/>
  <c r="K887" i="2"/>
  <c r="L887" i="2"/>
  <c r="M887" i="2"/>
  <c r="H888" i="2"/>
  <c r="I888" i="2"/>
  <c r="J888" i="2"/>
  <c r="K888" i="2"/>
  <c r="L888" i="2"/>
  <c r="M888" i="2"/>
  <c r="H889" i="2"/>
  <c r="I889" i="2"/>
  <c r="J889" i="2"/>
  <c r="K889" i="2"/>
  <c r="L889" i="2"/>
  <c r="M889" i="2"/>
  <c r="H866" i="2"/>
  <c r="I866" i="2"/>
  <c r="J866" i="2"/>
  <c r="K866" i="2"/>
  <c r="L866" i="2"/>
  <c r="M866" i="2"/>
  <c r="H867" i="2"/>
  <c r="I867" i="2"/>
  <c r="J867" i="2"/>
  <c r="K867" i="2"/>
  <c r="L867" i="2"/>
  <c r="M867" i="2"/>
  <c r="H859" i="2"/>
  <c r="I859" i="2"/>
  <c r="J859" i="2"/>
  <c r="K859" i="2"/>
  <c r="L859" i="2"/>
  <c r="M859" i="2"/>
  <c r="H860" i="2"/>
  <c r="I860" i="2"/>
  <c r="J860" i="2"/>
  <c r="K860" i="2"/>
  <c r="L860" i="2"/>
  <c r="M860" i="2"/>
  <c r="H861" i="2"/>
  <c r="I861" i="2"/>
  <c r="J861" i="2"/>
  <c r="K861" i="2"/>
  <c r="L861" i="2"/>
  <c r="M861" i="2"/>
  <c r="H862" i="2"/>
  <c r="I862" i="2"/>
  <c r="J862" i="2"/>
  <c r="K862" i="2"/>
  <c r="L862" i="2"/>
  <c r="M862" i="2"/>
  <c r="H863" i="2"/>
  <c r="I863" i="2"/>
  <c r="J863" i="2"/>
  <c r="K863" i="2"/>
  <c r="L863" i="2"/>
  <c r="M863" i="2"/>
  <c r="H864" i="2"/>
  <c r="I864" i="2"/>
  <c r="J864" i="2"/>
  <c r="K864" i="2"/>
  <c r="L864" i="2"/>
  <c r="M864" i="2"/>
  <c r="H865" i="2"/>
  <c r="I865" i="2"/>
  <c r="J865" i="2"/>
  <c r="K865" i="2"/>
  <c r="L865" i="2"/>
  <c r="M865" i="2"/>
  <c r="H848" i="2"/>
  <c r="I848" i="2"/>
  <c r="J848" i="2"/>
  <c r="K848" i="2"/>
  <c r="L848" i="2"/>
  <c r="M848" i="2"/>
  <c r="H849" i="2"/>
  <c r="I849" i="2"/>
  <c r="J849" i="2"/>
  <c r="K849" i="2"/>
  <c r="L849" i="2"/>
  <c r="M849" i="2"/>
  <c r="H850" i="2"/>
  <c r="I850" i="2"/>
  <c r="J850" i="2"/>
  <c r="K850" i="2"/>
  <c r="L850" i="2"/>
  <c r="M850" i="2"/>
  <c r="H851" i="2"/>
  <c r="I851" i="2"/>
  <c r="J851" i="2"/>
  <c r="K851" i="2"/>
  <c r="L851" i="2"/>
  <c r="M851" i="2"/>
  <c r="H852" i="2"/>
  <c r="I852" i="2"/>
  <c r="J852" i="2"/>
  <c r="K852" i="2"/>
  <c r="L852" i="2"/>
  <c r="M852" i="2"/>
  <c r="H853" i="2"/>
  <c r="I853" i="2"/>
  <c r="J853" i="2"/>
  <c r="K853" i="2"/>
  <c r="L853" i="2"/>
  <c r="M853" i="2"/>
  <c r="H854" i="2"/>
  <c r="I854" i="2"/>
  <c r="J854" i="2"/>
  <c r="K854" i="2"/>
  <c r="L854" i="2"/>
  <c r="M854" i="2"/>
  <c r="H855" i="2"/>
  <c r="I855" i="2"/>
  <c r="J855" i="2"/>
  <c r="K855" i="2"/>
  <c r="L855" i="2"/>
  <c r="M855" i="2"/>
  <c r="H856" i="2"/>
  <c r="I856" i="2"/>
  <c r="J856" i="2"/>
  <c r="K856" i="2"/>
  <c r="L856" i="2"/>
  <c r="M856" i="2"/>
  <c r="H857" i="2"/>
  <c r="I857" i="2"/>
  <c r="J857" i="2"/>
  <c r="K857" i="2"/>
  <c r="L857" i="2"/>
  <c r="M857" i="2"/>
  <c r="H858" i="2"/>
  <c r="I858" i="2"/>
  <c r="J858" i="2"/>
  <c r="K858" i="2"/>
  <c r="L858" i="2"/>
  <c r="M858" i="2"/>
  <c r="L169" i="2"/>
  <c r="M169" i="2"/>
  <c r="L170" i="2"/>
  <c r="M170" i="2"/>
  <c r="L171" i="2"/>
  <c r="M171" i="2"/>
  <c r="L172" i="2"/>
  <c r="M172" i="2"/>
  <c r="L173" i="2"/>
  <c r="M173" i="2"/>
  <c r="L174" i="2"/>
  <c r="M174" i="2"/>
  <c r="L175" i="2"/>
  <c r="M175" i="2"/>
  <c r="L176" i="2"/>
  <c r="M176" i="2"/>
  <c r="L177" i="2"/>
  <c r="M177" i="2"/>
  <c r="L178" i="2"/>
  <c r="M178" i="2"/>
  <c r="L179" i="2"/>
  <c r="M179" i="2"/>
  <c r="L180" i="2"/>
  <c r="M180" i="2"/>
  <c r="L181" i="2"/>
  <c r="M181" i="2"/>
  <c r="L182" i="2"/>
  <c r="M182" i="2"/>
  <c r="L183" i="2"/>
  <c r="M183" i="2"/>
  <c r="L184" i="2"/>
  <c r="M184" i="2"/>
  <c r="L185" i="2"/>
  <c r="M185" i="2"/>
  <c r="L186" i="2"/>
  <c r="M186" i="2"/>
  <c r="L187" i="2"/>
  <c r="M187" i="2"/>
  <c r="L188" i="2"/>
  <c r="M188" i="2"/>
  <c r="L189" i="2"/>
  <c r="M189" i="2"/>
  <c r="L190" i="2"/>
  <c r="M190" i="2"/>
  <c r="L191" i="2"/>
  <c r="M191" i="2"/>
  <c r="L192" i="2"/>
  <c r="M192" i="2"/>
  <c r="L193" i="2"/>
  <c r="M193" i="2"/>
  <c r="L194" i="2"/>
  <c r="M194" i="2"/>
  <c r="L195" i="2"/>
  <c r="M195" i="2"/>
  <c r="L196" i="2"/>
  <c r="M196" i="2"/>
  <c r="L197" i="2"/>
  <c r="M197" i="2"/>
  <c r="L198" i="2"/>
  <c r="M198" i="2"/>
  <c r="L199" i="2"/>
  <c r="M199" i="2"/>
  <c r="L200" i="2"/>
  <c r="M200" i="2"/>
  <c r="L201" i="2"/>
  <c r="M201" i="2"/>
  <c r="L202" i="2"/>
  <c r="M202" i="2"/>
  <c r="L203" i="2"/>
  <c r="M203" i="2"/>
  <c r="L204" i="2"/>
  <c r="M204" i="2"/>
  <c r="L205" i="2"/>
  <c r="M205" i="2"/>
  <c r="L206" i="2"/>
  <c r="M206" i="2"/>
  <c r="L207" i="2"/>
  <c r="M207" i="2"/>
  <c r="L208" i="2"/>
  <c r="M208" i="2"/>
  <c r="L209" i="2"/>
  <c r="M209" i="2"/>
  <c r="L210" i="2"/>
  <c r="M210" i="2"/>
  <c r="L211" i="2"/>
  <c r="M211" i="2"/>
  <c r="L212" i="2"/>
  <c r="M212" i="2"/>
  <c r="L213" i="2"/>
  <c r="M213" i="2"/>
  <c r="L214" i="2"/>
  <c r="M214" i="2"/>
  <c r="L215" i="2"/>
  <c r="M215" i="2"/>
  <c r="L216" i="2"/>
  <c r="M216" i="2"/>
  <c r="L217" i="2"/>
  <c r="M217" i="2"/>
  <c r="L218" i="2"/>
  <c r="M218" i="2"/>
  <c r="L219" i="2"/>
  <c r="M219" i="2"/>
  <c r="L220" i="2"/>
  <c r="M220" i="2"/>
  <c r="L221" i="2"/>
  <c r="M221" i="2"/>
  <c r="L222" i="2"/>
  <c r="M222" i="2"/>
  <c r="L223" i="2"/>
  <c r="M223" i="2"/>
  <c r="L224" i="2"/>
  <c r="M224" i="2"/>
  <c r="L225" i="2"/>
  <c r="M225" i="2"/>
  <c r="L226" i="2"/>
  <c r="M226" i="2"/>
  <c r="L227" i="2"/>
  <c r="M227" i="2"/>
  <c r="L228" i="2"/>
  <c r="M228" i="2"/>
  <c r="L229" i="2"/>
  <c r="M229" i="2"/>
  <c r="L230" i="2"/>
  <c r="M230" i="2"/>
  <c r="L231" i="2"/>
  <c r="M231" i="2"/>
  <c r="L232" i="2"/>
  <c r="M232" i="2"/>
  <c r="L233" i="2"/>
  <c r="M233" i="2"/>
  <c r="L234" i="2"/>
  <c r="M234" i="2"/>
  <c r="L235" i="2"/>
  <c r="M235" i="2"/>
  <c r="L236" i="2"/>
  <c r="M236" i="2"/>
  <c r="L237" i="2"/>
  <c r="M237" i="2"/>
  <c r="L238" i="2"/>
  <c r="M238" i="2"/>
  <c r="L239" i="2"/>
  <c r="M239" i="2"/>
  <c r="L240" i="2"/>
  <c r="M240" i="2"/>
  <c r="L241" i="2"/>
  <c r="M241" i="2"/>
  <c r="L242" i="2"/>
  <c r="M242" i="2"/>
  <c r="L243" i="2"/>
  <c r="M243" i="2"/>
  <c r="L244" i="2"/>
  <c r="M244" i="2"/>
  <c r="L245" i="2"/>
  <c r="M245" i="2"/>
  <c r="L246" i="2"/>
  <c r="M246" i="2"/>
  <c r="L247" i="2"/>
  <c r="M247" i="2"/>
  <c r="L248" i="2"/>
  <c r="M248" i="2"/>
  <c r="L249" i="2"/>
  <c r="M249" i="2"/>
  <c r="L250" i="2"/>
  <c r="M250" i="2"/>
  <c r="L251" i="2"/>
  <c r="M251" i="2"/>
  <c r="L252" i="2"/>
  <c r="M252" i="2"/>
  <c r="L253" i="2"/>
  <c r="M253" i="2"/>
  <c r="L254" i="2"/>
  <c r="M254" i="2"/>
  <c r="L255" i="2"/>
  <c r="M255" i="2"/>
  <c r="L256" i="2"/>
  <c r="M256" i="2"/>
  <c r="L257" i="2"/>
  <c r="M257" i="2"/>
  <c r="L258" i="2"/>
  <c r="M258" i="2"/>
  <c r="L259" i="2"/>
  <c r="M259" i="2"/>
  <c r="L260" i="2"/>
  <c r="M260" i="2"/>
  <c r="L261" i="2"/>
  <c r="M261" i="2"/>
  <c r="L262" i="2"/>
  <c r="M262" i="2"/>
  <c r="L263" i="2"/>
  <c r="M263" i="2"/>
  <c r="L264" i="2"/>
  <c r="M264" i="2"/>
  <c r="L265" i="2"/>
  <c r="M265" i="2"/>
  <c r="L266" i="2"/>
  <c r="M266" i="2"/>
  <c r="L267" i="2"/>
  <c r="M267" i="2"/>
  <c r="L268" i="2"/>
  <c r="M268" i="2"/>
  <c r="L269" i="2"/>
  <c r="M269" i="2"/>
  <c r="L270" i="2"/>
  <c r="M270" i="2"/>
  <c r="L271" i="2"/>
  <c r="M271" i="2"/>
  <c r="L272" i="2"/>
  <c r="M272" i="2"/>
  <c r="L273" i="2"/>
  <c r="M273" i="2"/>
  <c r="L274" i="2"/>
  <c r="M274" i="2"/>
  <c r="L275" i="2"/>
  <c r="M275" i="2"/>
  <c r="L276" i="2"/>
  <c r="M276" i="2"/>
  <c r="L277" i="2"/>
  <c r="M277" i="2"/>
  <c r="L278" i="2"/>
  <c r="M278" i="2"/>
  <c r="L279" i="2"/>
  <c r="M279" i="2"/>
  <c r="L280" i="2"/>
  <c r="M280" i="2"/>
  <c r="L281" i="2"/>
  <c r="M281" i="2"/>
  <c r="L282" i="2"/>
  <c r="M282" i="2"/>
  <c r="L283" i="2"/>
  <c r="M283" i="2"/>
  <c r="L284" i="2"/>
  <c r="M284" i="2"/>
  <c r="L285" i="2"/>
  <c r="M285" i="2"/>
  <c r="L286" i="2"/>
  <c r="M286" i="2"/>
  <c r="L287" i="2"/>
  <c r="M287" i="2"/>
  <c r="L288" i="2"/>
  <c r="M288" i="2"/>
  <c r="L289" i="2"/>
  <c r="M289" i="2"/>
  <c r="L290" i="2"/>
  <c r="M290" i="2"/>
  <c r="L291" i="2"/>
  <c r="M291" i="2"/>
  <c r="L292" i="2"/>
  <c r="M292" i="2"/>
  <c r="L293" i="2"/>
  <c r="M293" i="2"/>
  <c r="L294" i="2"/>
  <c r="M294" i="2"/>
  <c r="L295" i="2"/>
  <c r="M295" i="2"/>
  <c r="L296" i="2"/>
  <c r="M296" i="2"/>
  <c r="L297" i="2"/>
  <c r="M297" i="2"/>
  <c r="L298" i="2"/>
  <c r="M298" i="2"/>
  <c r="L299" i="2"/>
  <c r="M299" i="2"/>
  <c r="L300" i="2"/>
  <c r="M300" i="2"/>
  <c r="L301" i="2"/>
  <c r="M301" i="2"/>
  <c r="L302" i="2"/>
  <c r="M302" i="2"/>
  <c r="L303" i="2"/>
  <c r="M303" i="2"/>
  <c r="L304" i="2"/>
  <c r="M304" i="2"/>
  <c r="L305" i="2"/>
  <c r="M305" i="2"/>
  <c r="L306" i="2"/>
  <c r="M306" i="2"/>
  <c r="L307" i="2"/>
  <c r="M307" i="2"/>
  <c r="L308" i="2"/>
  <c r="M308" i="2"/>
  <c r="L309" i="2"/>
  <c r="M309" i="2"/>
  <c r="L310" i="2"/>
  <c r="M310" i="2"/>
  <c r="L311" i="2"/>
  <c r="M311" i="2"/>
  <c r="L312" i="2"/>
  <c r="M312" i="2"/>
  <c r="L313" i="2"/>
  <c r="M313" i="2"/>
  <c r="L314" i="2"/>
  <c r="M314" i="2"/>
  <c r="L315" i="2"/>
  <c r="M315" i="2"/>
  <c r="L316" i="2"/>
  <c r="M316" i="2"/>
  <c r="L317" i="2"/>
  <c r="M317" i="2"/>
  <c r="L318" i="2"/>
  <c r="M318" i="2"/>
  <c r="L319" i="2"/>
  <c r="M319" i="2"/>
  <c r="L320" i="2"/>
  <c r="M320" i="2"/>
  <c r="L321" i="2"/>
  <c r="M321" i="2"/>
  <c r="L322" i="2"/>
  <c r="M322" i="2"/>
  <c r="L323" i="2"/>
  <c r="M323" i="2"/>
  <c r="L324" i="2"/>
  <c r="M324" i="2"/>
  <c r="L325" i="2"/>
  <c r="M325" i="2"/>
  <c r="L326" i="2"/>
  <c r="M326" i="2"/>
  <c r="L327" i="2"/>
  <c r="M327" i="2"/>
  <c r="L328" i="2"/>
  <c r="M328" i="2"/>
  <c r="L329" i="2"/>
  <c r="M329" i="2"/>
  <c r="L330" i="2"/>
  <c r="M330" i="2"/>
  <c r="L331" i="2"/>
  <c r="M331" i="2"/>
  <c r="L332" i="2"/>
  <c r="M332" i="2"/>
  <c r="L333" i="2"/>
  <c r="M333" i="2"/>
  <c r="L334" i="2"/>
  <c r="M334" i="2"/>
  <c r="L335" i="2"/>
  <c r="M335" i="2"/>
  <c r="L336" i="2"/>
  <c r="M336" i="2"/>
  <c r="L337" i="2"/>
  <c r="M337" i="2"/>
  <c r="L338" i="2"/>
  <c r="M338" i="2"/>
  <c r="L339" i="2"/>
  <c r="M339" i="2"/>
  <c r="L340" i="2"/>
  <c r="M340" i="2"/>
  <c r="L341" i="2"/>
  <c r="M341" i="2"/>
  <c r="L342" i="2"/>
  <c r="M342" i="2"/>
  <c r="L343" i="2"/>
  <c r="M343" i="2"/>
  <c r="L344" i="2"/>
  <c r="M344" i="2"/>
  <c r="L345" i="2"/>
  <c r="M345" i="2"/>
  <c r="L346" i="2"/>
  <c r="M346" i="2"/>
  <c r="L347" i="2"/>
  <c r="M347" i="2"/>
  <c r="L348" i="2"/>
  <c r="M348" i="2"/>
  <c r="L349" i="2"/>
  <c r="M349" i="2"/>
  <c r="L350" i="2"/>
  <c r="M350" i="2"/>
  <c r="L351" i="2"/>
  <c r="M351" i="2"/>
  <c r="L352" i="2"/>
  <c r="M352" i="2"/>
  <c r="L353" i="2"/>
  <c r="M353" i="2"/>
  <c r="L354" i="2"/>
  <c r="M354" i="2"/>
  <c r="L355" i="2"/>
  <c r="M355" i="2"/>
  <c r="L356" i="2"/>
  <c r="M356" i="2"/>
  <c r="L357" i="2"/>
  <c r="M357" i="2"/>
  <c r="L358" i="2"/>
  <c r="M358" i="2"/>
  <c r="L359" i="2"/>
  <c r="M359" i="2"/>
  <c r="L360" i="2"/>
  <c r="M360" i="2"/>
  <c r="L361" i="2"/>
  <c r="M361" i="2"/>
  <c r="L362" i="2"/>
  <c r="M362" i="2"/>
  <c r="L363" i="2"/>
  <c r="M363" i="2"/>
  <c r="L364" i="2"/>
  <c r="M364" i="2"/>
  <c r="L365" i="2"/>
  <c r="M365" i="2"/>
  <c r="L366" i="2"/>
  <c r="M366" i="2"/>
  <c r="L367" i="2"/>
  <c r="M367" i="2"/>
  <c r="L368" i="2"/>
  <c r="M368" i="2"/>
  <c r="L369" i="2"/>
  <c r="M369" i="2"/>
  <c r="L370" i="2"/>
  <c r="M370" i="2"/>
  <c r="L371" i="2"/>
  <c r="M371" i="2"/>
  <c r="L372" i="2"/>
  <c r="M372" i="2"/>
  <c r="L373" i="2"/>
  <c r="M373" i="2"/>
  <c r="L374" i="2"/>
  <c r="M374" i="2"/>
  <c r="L375" i="2"/>
  <c r="M375" i="2"/>
  <c r="L376" i="2"/>
  <c r="M376" i="2"/>
  <c r="L377" i="2"/>
  <c r="M377" i="2"/>
  <c r="L378" i="2"/>
  <c r="M378" i="2"/>
  <c r="L379" i="2"/>
  <c r="M379" i="2"/>
  <c r="L380" i="2"/>
  <c r="M380" i="2"/>
  <c r="L381" i="2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M389" i="2"/>
  <c r="L390" i="2"/>
  <c r="M390" i="2"/>
  <c r="L391" i="2"/>
  <c r="M391" i="2"/>
  <c r="L392" i="2"/>
  <c r="M392" i="2"/>
  <c r="L393" i="2"/>
  <c r="M393" i="2"/>
  <c r="L394" i="2"/>
  <c r="M394" i="2"/>
  <c r="L395" i="2"/>
  <c r="M395" i="2"/>
  <c r="L396" i="2"/>
  <c r="M396" i="2"/>
  <c r="L397" i="2"/>
  <c r="M397" i="2"/>
  <c r="L398" i="2"/>
  <c r="M398" i="2"/>
  <c r="L399" i="2"/>
  <c r="M399" i="2"/>
  <c r="L400" i="2"/>
  <c r="M400" i="2"/>
  <c r="L401" i="2"/>
  <c r="M401" i="2"/>
  <c r="L402" i="2"/>
  <c r="M402" i="2"/>
  <c r="L403" i="2"/>
  <c r="M403" i="2"/>
  <c r="L404" i="2"/>
  <c r="M404" i="2"/>
  <c r="L405" i="2"/>
  <c r="M405" i="2"/>
  <c r="L406" i="2"/>
  <c r="M406" i="2"/>
  <c r="L407" i="2"/>
  <c r="M407" i="2"/>
  <c r="L408" i="2"/>
  <c r="M408" i="2"/>
  <c r="L409" i="2"/>
  <c r="M409" i="2"/>
  <c r="L410" i="2"/>
  <c r="M410" i="2"/>
  <c r="L411" i="2"/>
  <c r="M411" i="2"/>
  <c r="L412" i="2"/>
  <c r="M412" i="2"/>
  <c r="L413" i="2"/>
  <c r="M413" i="2"/>
  <c r="L414" i="2"/>
  <c r="M414" i="2"/>
  <c r="L415" i="2"/>
  <c r="M415" i="2"/>
  <c r="L416" i="2"/>
  <c r="M416" i="2"/>
  <c r="L417" i="2"/>
  <c r="M417" i="2"/>
  <c r="L418" i="2"/>
  <c r="M418" i="2"/>
  <c r="L419" i="2"/>
  <c r="M419" i="2"/>
  <c r="L420" i="2"/>
  <c r="M420" i="2"/>
  <c r="L421" i="2"/>
  <c r="M421" i="2"/>
  <c r="L422" i="2"/>
  <c r="M422" i="2"/>
  <c r="L423" i="2"/>
  <c r="M423" i="2"/>
  <c r="L424" i="2"/>
  <c r="M424" i="2"/>
  <c r="L425" i="2"/>
  <c r="M425" i="2"/>
  <c r="L426" i="2"/>
  <c r="M426" i="2"/>
  <c r="L427" i="2"/>
  <c r="M427" i="2"/>
  <c r="L428" i="2"/>
  <c r="M428" i="2"/>
  <c r="L429" i="2"/>
  <c r="M429" i="2"/>
  <c r="L430" i="2"/>
  <c r="M430" i="2"/>
  <c r="L431" i="2"/>
  <c r="M431" i="2"/>
  <c r="L432" i="2"/>
  <c r="M432" i="2"/>
  <c r="L433" i="2"/>
  <c r="M433" i="2"/>
  <c r="L434" i="2"/>
  <c r="M434" i="2"/>
  <c r="L435" i="2"/>
  <c r="M435" i="2"/>
  <c r="L436" i="2"/>
  <c r="M436" i="2"/>
  <c r="L437" i="2"/>
  <c r="M437" i="2"/>
  <c r="L438" i="2"/>
  <c r="M438" i="2"/>
  <c r="L439" i="2"/>
  <c r="M439" i="2"/>
  <c r="L440" i="2"/>
  <c r="M440" i="2"/>
  <c r="L441" i="2"/>
  <c r="M441" i="2"/>
  <c r="L442" i="2"/>
  <c r="M442" i="2"/>
  <c r="L443" i="2"/>
  <c r="M443" i="2"/>
  <c r="L444" i="2"/>
  <c r="M444" i="2"/>
  <c r="L445" i="2"/>
  <c r="M445" i="2"/>
  <c r="L446" i="2"/>
  <c r="M446" i="2"/>
  <c r="L447" i="2"/>
  <c r="M447" i="2"/>
  <c r="L448" i="2"/>
  <c r="M448" i="2"/>
  <c r="L449" i="2"/>
  <c r="M449" i="2"/>
  <c r="L450" i="2"/>
  <c r="M450" i="2"/>
  <c r="L451" i="2"/>
  <c r="M451" i="2"/>
  <c r="L452" i="2"/>
  <c r="M452" i="2"/>
  <c r="L453" i="2"/>
  <c r="M453" i="2"/>
  <c r="L454" i="2"/>
  <c r="M454" i="2"/>
  <c r="L455" i="2"/>
  <c r="M455" i="2"/>
  <c r="L456" i="2"/>
  <c r="M456" i="2"/>
  <c r="L457" i="2"/>
  <c r="M457" i="2"/>
  <c r="L458" i="2"/>
  <c r="M458" i="2"/>
  <c r="L459" i="2"/>
  <c r="M459" i="2"/>
  <c r="L460" i="2"/>
  <c r="M460" i="2"/>
  <c r="L461" i="2"/>
  <c r="M461" i="2"/>
  <c r="L462" i="2"/>
  <c r="M462" i="2"/>
  <c r="L463" i="2"/>
  <c r="M463" i="2"/>
  <c r="L464" i="2"/>
  <c r="M464" i="2"/>
  <c r="L465" i="2"/>
  <c r="M465" i="2"/>
  <c r="L466" i="2"/>
  <c r="M466" i="2"/>
  <c r="L467" i="2"/>
  <c r="M467" i="2"/>
  <c r="L468" i="2"/>
  <c r="M468" i="2"/>
  <c r="L469" i="2"/>
  <c r="M469" i="2"/>
  <c r="L470" i="2"/>
  <c r="M470" i="2"/>
  <c r="L471" i="2"/>
  <c r="M471" i="2"/>
  <c r="L472" i="2"/>
  <c r="M472" i="2"/>
  <c r="L473" i="2"/>
  <c r="M473" i="2"/>
  <c r="L474" i="2"/>
  <c r="M474" i="2"/>
  <c r="L475" i="2"/>
  <c r="M475" i="2"/>
  <c r="L476" i="2"/>
  <c r="M476" i="2"/>
  <c r="L477" i="2"/>
  <c r="M477" i="2"/>
  <c r="L478" i="2"/>
  <c r="M478" i="2"/>
  <c r="L479" i="2"/>
  <c r="M479" i="2"/>
  <c r="L480" i="2"/>
  <c r="M480" i="2"/>
  <c r="L481" i="2"/>
  <c r="M481" i="2"/>
  <c r="L482" i="2"/>
  <c r="M482" i="2"/>
  <c r="L483" i="2"/>
  <c r="M483" i="2"/>
  <c r="L484" i="2"/>
  <c r="M484" i="2"/>
  <c r="L485" i="2"/>
  <c r="M485" i="2"/>
  <c r="L486" i="2"/>
  <c r="M486" i="2"/>
  <c r="L487" i="2"/>
  <c r="M487" i="2"/>
  <c r="L488" i="2"/>
  <c r="M488" i="2"/>
  <c r="L489" i="2"/>
  <c r="M489" i="2"/>
  <c r="L490" i="2"/>
  <c r="M490" i="2"/>
  <c r="L491" i="2"/>
  <c r="M491" i="2"/>
  <c r="L492" i="2"/>
  <c r="M492" i="2"/>
  <c r="L493" i="2"/>
  <c r="M493" i="2"/>
  <c r="L494" i="2"/>
  <c r="M494" i="2"/>
  <c r="L495" i="2"/>
  <c r="M495" i="2"/>
  <c r="L496" i="2"/>
  <c r="M496" i="2"/>
  <c r="L497" i="2"/>
  <c r="M497" i="2"/>
  <c r="L498" i="2"/>
  <c r="M498" i="2"/>
  <c r="L499" i="2"/>
  <c r="M499" i="2"/>
  <c r="L500" i="2"/>
  <c r="M500" i="2"/>
  <c r="L501" i="2"/>
  <c r="M501" i="2"/>
  <c r="L502" i="2"/>
  <c r="M502" i="2"/>
  <c r="L503" i="2"/>
  <c r="M503" i="2"/>
  <c r="L504" i="2"/>
  <c r="M504" i="2"/>
  <c r="L505" i="2"/>
  <c r="M505" i="2"/>
  <c r="L506" i="2"/>
  <c r="M506" i="2"/>
  <c r="L507" i="2"/>
  <c r="M507" i="2"/>
  <c r="L508" i="2"/>
  <c r="M508" i="2"/>
  <c r="L509" i="2"/>
  <c r="M509" i="2"/>
  <c r="L510" i="2"/>
  <c r="M510" i="2"/>
  <c r="L511" i="2"/>
  <c r="M511" i="2"/>
  <c r="L512" i="2"/>
  <c r="M512" i="2"/>
  <c r="L513" i="2"/>
  <c r="M513" i="2"/>
  <c r="L514" i="2"/>
  <c r="M514" i="2"/>
  <c r="L515" i="2"/>
  <c r="M515" i="2"/>
  <c r="L516" i="2"/>
  <c r="M516" i="2"/>
  <c r="L517" i="2"/>
  <c r="M517" i="2"/>
  <c r="L518" i="2"/>
  <c r="M518" i="2"/>
  <c r="L519" i="2"/>
  <c r="M519" i="2"/>
  <c r="L520" i="2"/>
  <c r="M520" i="2"/>
  <c r="L521" i="2"/>
  <c r="M521" i="2"/>
  <c r="L522" i="2"/>
  <c r="M522" i="2"/>
  <c r="L523" i="2"/>
  <c r="M523" i="2"/>
  <c r="L524" i="2"/>
  <c r="M524" i="2"/>
  <c r="L525" i="2"/>
  <c r="M525" i="2"/>
  <c r="L526" i="2"/>
  <c r="M526" i="2"/>
  <c r="L527" i="2"/>
  <c r="M527" i="2"/>
  <c r="L528" i="2"/>
  <c r="M528" i="2"/>
  <c r="L529" i="2"/>
  <c r="M529" i="2"/>
  <c r="L530" i="2"/>
  <c r="M530" i="2"/>
  <c r="L531" i="2"/>
  <c r="M531" i="2"/>
  <c r="L532" i="2"/>
  <c r="M532" i="2"/>
  <c r="L533" i="2"/>
  <c r="M533" i="2"/>
  <c r="L534" i="2"/>
  <c r="M534" i="2"/>
  <c r="L535" i="2"/>
  <c r="M535" i="2"/>
  <c r="L536" i="2"/>
  <c r="M536" i="2"/>
  <c r="L537" i="2"/>
  <c r="M537" i="2"/>
  <c r="L538" i="2"/>
  <c r="M538" i="2"/>
  <c r="L539" i="2"/>
  <c r="M539" i="2"/>
  <c r="L540" i="2"/>
  <c r="M540" i="2"/>
  <c r="L541" i="2"/>
  <c r="M541" i="2"/>
  <c r="L542" i="2"/>
  <c r="M542" i="2"/>
  <c r="L543" i="2"/>
  <c r="M543" i="2"/>
  <c r="L544" i="2"/>
  <c r="M544" i="2"/>
  <c r="L545" i="2"/>
  <c r="M545" i="2"/>
  <c r="L546" i="2"/>
  <c r="M546" i="2"/>
  <c r="L547" i="2"/>
  <c r="M547" i="2"/>
  <c r="L548" i="2"/>
  <c r="M548" i="2"/>
  <c r="L549" i="2"/>
  <c r="M549" i="2"/>
  <c r="L550" i="2"/>
  <c r="M550" i="2"/>
  <c r="L551" i="2"/>
  <c r="M551" i="2"/>
  <c r="L552" i="2"/>
  <c r="M552" i="2"/>
  <c r="L553" i="2"/>
  <c r="M553" i="2"/>
  <c r="L554" i="2"/>
  <c r="M554" i="2"/>
  <c r="L555" i="2"/>
  <c r="M555" i="2"/>
  <c r="L556" i="2"/>
  <c r="M556" i="2"/>
  <c r="L557" i="2"/>
  <c r="M557" i="2"/>
  <c r="L558" i="2"/>
  <c r="M558" i="2"/>
  <c r="L559" i="2"/>
  <c r="M559" i="2"/>
  <c r="L560" i="2"/>
  <c r="M560" i="2"/>
  <c r="L561" i="2"/>
  <c r="M561" i="2"/>
  <c r="L562" i="2"/>
  <c r="M562" i="2"/>
  <c r="L563" i="2"/>
  <c r="M563" i="2"/>
  <c r="L564" i="2"/>
  <c r="M564" i="2"/>
  <c r="L565" i="2"/>
  <c r="M565" i="2"/>
  <c r="L566" i="2"/>
  <c r="M566" i="2"/>
  <c r="L567" i="2"/>
  <c r="M567" i="2"/>
  <c r="L568" i="2"/>
  <c r="M568" i="2"/>
  <c r="L569" i="2"/>
  <c r="M569" i="2"/>
  <c r="L570" i="2"/>
  <c r="M570" i="2"/>
  <c r="L571" i="2"/>
  <c r="M571" i="2"/>
  <c r="L572" i="2"/>
  <c r="M572" i="2"/>
  <c r="L573" i="2"/>
  <c r="M573" i="2"/>
  <c r="L574" i="2"/>
  <c r="M574" i="2"/>
  <c r="L575" i="2"/>
  <c r="M575" i="2"/>
  <c r="L576" i="2"/>
  <c r="M576" i="2"/>
  <c r="L577" i="2"/>
  <c r="M577" i="2"/>
  <c r="L578" i="2"/>
  <c r="M578" i="2"/>
  <c r="L579" i="2"/>
  <c r="M579" i="2"/>
  <c r="L580" i="2"/>
  <c r="M580" i="2"/>
  <c r="L581" i="2"/>
  <c r="M581" i="2"/>
  <c r="L582" i="2"/>
  <c r="M582" i="2"/>
  <c r="L583" i="2"/>
  <c r="M583" i="2"/>
  <c r="L584" i="2"/>
  <c r="M584" i="2"/>
  <c r="L585" i="2"/>
  <c r="M585" i="2"/>
  <c r="L586" i="2"/>
  <c r="M586" i="2"/>
  <c r="L587" i="2"/>
  <c r="M587" i="2"/>
  <c r="L588" i="2"/>
  <c r="M588" i="2"/>
  <c r="L589" i="2"/>
  <c r="M589" i="2"/>
  <c r="L590" i="2"/>
  <c r="M590" i="2"/>
  <c r="L591" i="2"/>
  <c r="M591" i="2"/>
  <c r="L592" i="2"/>
  <c r="M592" i="2"/>
  <c r="L593" i="2"/>
  <c r="M593" i="2"/>
  <c r="L594" i="2"/>
  <c r="M594" i="2"/>
  <c r="L595" i="2"/>
  <c r="M595" i="2"/>
  <c r="L596" i="2"/>
  <c r="M596" i="2"/>
  <c r="L597" i="2"/>
  <c r="M597" i="2"/>
  <c r="L598" i="2"/>
  <c r="M598" i="2"/>
  <c r="L599" i="2"/>
  <c r="M599" i="2"/>
  <c r="L600" i="2"/>
  <c r="M600" i="2"/>
  <c r="L601" i="2"/>
  <c r="M601" i="2"/>
  <c r="L602" i="2"/>
  <c r="M602" i="2"/>
  <c r="L603" i="2"/>
  <c r="M603" i="2"/>
  <c r="L604" i="2"/>
  <c r="M604" i="2"/>
  <c r="L605" i="2"/>
  <c r="M605" i="2"/>
  <c r="L606" i="2"/>
  <c r="M606" i="2"/>
  <c r="L607" i="2"/>
  <c r="M607" i="2"/>
  <c r="L608" i="2"/>
  <c r="M608" i="2"/>
  <c r="L609" i="2"/>
  <c r="M609" i="2"/>
  <c r="L610" i="2"/>
  <c r="M610" i="2"/>
  <c r="L611" i="2"/>
  <c r="M611" i="2"/>
  <c r="L612" i="2"/>
  <c r="M612" i="2"/>
  <c r="L613" i="2"/>
  <c r="M613" i="2"/>
  <c r="L614" i="2"/>
  <c r="M614" i="2"/>
  <c r="L615" i="2"/>
  <c r="M615" i="2"/>
  <c r="L616" i="2"/>
  <c r="M616" i="2"/>
  <c r="L617" i="2"/>
  <c r="M617" i="2"/>
  <c r="L618" i="2"/>
  <c r="M618" i="2"/>
  <c r="L619" i="2"/>
  <c r="M619" i="2"/>
  <c r="L620" i="2"/>
  <c r="M620" i="2"/>
  <c r="L621" i="2"/>
  <c r="M621" i="2"/>
  <c r="L622" i="2"/>
  <c r="M622" i="2"/>
  <c r="L623" i="2"/>
  <c r="M623" i="2"/>
  <c r="L624" i="2"/>
  <c r="M624" i="2"/>
  <c r="L625" i="2"/>
  <c r="M625" i="2"/>
  <c r="L626" i="2"/>
  <c r="M626" i="2"/>
  <c r="L627" i="2"/>
  <c r="M627" i="2"/>
  <c r="L628" i="2"/>
  <c r="M628" i="2"/>
  <c r="L629" i="2"/>
  <c r="M629" i="2"/>
  <c r="L630" i="2"/>
  <c r="M630" i="2"/>
  <c r="L631" i="2"/>
  <c r="M631" i="2"/>
  <c r="L632" i="2"/>
  <c r="M632" i="2"/>
  <c r="L633" i="2"/>
  <c r="M633" i="2"/>
  <c r="L634" i="2"/>
  <c r="M634" i="2"/>
  <c r="L635" i="2"/>
  <c r="M635" i="2"/>
  <c r="L636" i="2"/>
  <c r="M636" i="2"/>
  <c r="L637" i="2"/>
  <c r="M637" i="2"/>
  <c r="L638" i="2"/>
  <c r="M638" i="2"/>
  <c r="L639" i="2"/>
  <c r="M639" i="2"/>
  <c r="L640" i="2"/>
  <c r="M640" i="2"/>
  <c r="L641" i="2"/>
  <c r="M641" i="2"/>
  <c r="L642" i="2"/>
  <c r="M642" i="2"/>
  <c r="L643" i="2"/>
  <c r="M643" i="2"/>
  <c r="L644" i="2"/>
  <c r="M644" i="2"/>
  <c r="L645" i="2"/>
  <c r="M645" i="2"/>
  <c r="L646" i="2"/>
  <c r="M646" i="2"/>
  <c r="L647" i="2"/>
  <c r="M647" i="2"/>
  <c r="L648" i="2"/>
  <c r="M648" i="2"/>
  <c r="L649" i="2"/>
  <c r="M649" i="2"/>
  <c r="L650" i="2"/>
  <c r="M650" i="2"/>
  <c r="L651" i="2"/>
  <c r="M651" i="2"/>
  <c r="L652" i="2"/>
  <c r="M652" i="2"/>
  <c r="L653" i="2"/>
  <c r="M653" i="2"/>
  <c r="L654" i="2"/>
  <c r="M654" i="2"/>
  <c r="L655" i="2"/>
  <c r="M655" i="2"/>
  <c r="L656" i="2"/>
  <c r="M656" i="2"/>
  <c r="L657" i="2"/>
  <c r="M657" i="2"/>
  <c r="L658" i="2"/>
  <c r="M658" i="2"/>
  <c r="L659" i="2"/>
  <c r="M659" i="2"/>
  <c r="L660" i="2"/>
  <c r="M660" i="2"/>
  <c r="L661" i="2"/>
  <c r="M661" i="2"/>
  <c r="L662" i="2"/>
  <c r="M662" i="2"/>
  <c r="L663" i="2"/>
  <c r="M663" i="2"/>
  <c r="L664" i="2"/>
  <c r="M664" i="2"/>
  <c r="L665" i="2"/>
  <c r="M665" i="2"/>
  <c r="L666" i="2"/>
  <c r="M666" i="2"/>
  <c r="L667" i="2"/>
  <c r="M667" i="2"/>
  <c r="L668" i="2"/>
  <c r="M668" i="2"/>
  <c r="L669" i="2"/>
  <c r="M669" i="2"/>
  <c r="L670" i="2"/>
  <c r="M670" i="2"/>
  <c r="L671" i="2"/>
  <c r="M671" i="2"/>
  <c r="L672" i="2"/>
  <c r="M672" i="2"/>
  <c r="L673" i="2"/>
  <c r="M673" i="2"/>
  <c r="L674" i="2"/>
  <c r="M674" i="2"/>
  <c r="L675" i="2"/>
  <c r="M675" i="2"/>
  <c r="L676" i="2"/>
  <c r="M676" i="2"/>
  <c r="L677" i="2"/>
  <c r="M677" i="2"/>
  <c r="L678" i="2"/>
  <c r="M678" i="2"/>
  <c r="L679" i="2"/>
  <c r="M679" i="2"/>
  <c r="L680" i="2"/>
  <c r="M680" i="2"/>
  <c r="L681" i="2"/>
  <c r="M681" i="2"/>
  <c r="L682" i="2"/>
  <c r="M682" i="2"/>
  <c r="L683" i="2"/>
  <c r="M683" i="2"/>
  <c r="L684" i="2"/>
  <c r="M684" i="2"/>
  <c r="L685" i="2"/>
  <c r="M685" i="2"/>
  <c r="L686" i="2"/>
  <c r="M686" i="2"/>
  <c r="L687" i="2"/>
  <c r="M687" i="2"/>
  <c r="L688" i="2"/>
  <c r="M688" i="2"/>
  <c r="L689" i="2"/>
  <c r="M689" i="2"/>
  <c r="L690" i="2"/>
  <c r="M690" i="2"/>
  <c r="L691" i="2"/>
  <c r="M691" i="2"/>
  <c r="L692" i="2"/>
  <c r="M692" i="2"/>
  <c r="L693" i="2"/>
  <c r="M693" i="2"/>
  <c r="L694" i="2"/>
  <c r="M694" i="2"/>
  <c r="L695" i="2"/>
  <c r="M695" i="2"/>
  <c r="L696" i="2"/>
  <c r="M696" i="2"/>
  <c r="L697" i="2"/>
  <c r="M697" i="2"/>
  <c r="L698" i="2"/>
  <c r="M698" i="2"/>
  <c r="L699" i="2"/>
  <c r="M699" i="2"/>
  <c r="L700" i="2"/>
  <c r="M700" i="2"/>
  <c r="L701" i="2"/>
  <c r="M701" i="2"/>
  <c r="L702" i="2"/>
  <c r="M702" i="2"/>
  <c r="L703" i="2"/>
  <c r="M703" i="2"/>
  <c r="L704" i="2"/>
  <c r="M704" i="2"/>
  <c r="L705" i="2"/>
  <c r="M705" i="2"/>
  <c r="L706" i="2"/>
  <c r="M706" i="2"/>
  <c r="L707" i="2"/>
  <c r="M707" i="2"/>
  <c r="L708" i="2"/>
  <c r="M708" i="2"/>
  <c r="L709" i="2"/>
  <c r="M709" i="2"/>
  <c r="L710" i="2"/>
  <c r="M710" i="2"/>
  <c r="L711" i="2"/>
  <c r="M711" i="2"/>
  <c r="L712" i="2"/>
  <c r="M712" i="2"/>
  <c r="L713" i="2"/>
  <c r="M713" i="2"/>
  <c r="L714" i="2"/>
  <c r="M714" i="2"/>
  <c r="L715" i="2"/>
  <c r="M715" i="2"/>
  <c r="L716" i="2"/>
  <c r="M716" i="2"/>
  <c r="L717" i="2"/>
  <c r="M717" i="2"/>
  <c r="L718" i="2"/>
  <c r="M718" i="2"/>
  <c r="L719" i="2"/>
  <c r="M719" i="2"/>
  <c r="L720" i="2"/>
  <c r="M720" i="2"/>
  <c r="L721" i="2"/>
  <c r="M721" i="2"/>
  <c r="L722" i="2"/>
  <c r="M722" i="2"/>
  <c r="L723" i="2"/>
  <c r="M723" i="2"/>
  <c r="L724" i="2"/>
  <c r="M724" i="2"/>
  <c r="L725" i="2"/>
  <c r="M725" i="2"/>
  <c r="L726" i="2"/>
  <c r="M726" i="2"/>
  <c r="L727" i="2"/>
  <c r="M727" i="2"/>
  <c r="L728" i="2"/>
  <c r="M728" i="2"/>
  <c r="L729" i="2"/>
  <c r="M729" i="2"/>
  <c r="L730" i="2"/>
  <c r="M730" i="2"/>
  <c r="L731" i="2"/>
  <c r="M731" i="2"/>
  <c r="L732" i="2"/>
  <c r="M732" i="2"/>
  <c r="L733" i="2"/>
  <c r="M733" i="2"/>
  <c r="L734" i="2"/>
  <c r="M734" i="2"/>
  <c r="L735" i="2"/>
  <c r="M735" i="2"/>
  <c r="L736" i="2"/>
  <c r="M736" i="2"/>
  <c r="L737" i="2"/>
  <c r="M737" i="2"/>
  <c r="L738" i="2"/>
  <c r="M738" i="2"/>
  <c r="L739" i="2"/>
  <c r="M739" i="2"/>
  <c r="L740" i="2"/>
  <c r="M740" i="2"/>
  <c r="L741" i="2"/>
  <c r="M741" i="2"/>
  <c r="L742" i="2"/>
  <c r="M742" i="2"/>
  <c r="L743" i="2"/>
  <c r="M743" i="2"/>
  <c r="L744" i="2"/>
  <c r="M744" i="2"/>
  <c r="L745" i="2"/>
  <c r="M745" i="2"/>
  <c r="L746" i="2"/>
  <c r="M746" i="2"/>
  <c r="L747" i="2"/>
  <c r="M747" i="2"/>
  <c r="L748" i="2"/>
  <c r="M748" i="2"/>
  <c r="L749" i="2"/>
  <c r="M749" i="2"/>
  <c r="L750" i="2"/>
  <c r="M750" i="2"/>
  <c r="L751" i="2"/>
  <c r="M751" i="2"/>
  <c r="L752" i="2"/>
  <c r="M752" i="2"/>
  <c r="L753" i="2"/>
  <c r="M753" i="2"/>
  <c r="L754" i="2"/>
  <c r="M754" i="2"/>
  <c r="L755" i="2"/>
  <c r="M755" i="2"/>
  <c r="L756" i="2"/>
  <c r="M756" i="2"/>
  <c r="L757" i="2"/>
  <c r="M757" i="2"/>
  <c r="L758" i="2"/>
  <c r="M758" i="2"/>
  <c r="L759" i="2"/>
  <c r="M759" i="2"/>
  <c r="L760" i="2"/>
  <c r="M760" i="2"/>
  <c r="L761" i="2"/>
  <c r="M761" i="2"/>
  <c r="L762" i="2"/>
  <c r="M762" i="2"/>
  <c r="L763" i="2"/>
  <c r="M763" i="2"/>
  <c r="L764" i="2"/>
  <c r="M764" i="2"/>
  <c r="L765" i="2"/>
  <c r="M765" i="2"/>
  <c r="L766" i="2"/>
  <c r="M766" i="2"/>
  <c r="L767" i="2"/>
  <c r="M767" i="2"/>
  <c r="L768" i="2"/>
  <c r="M768" i="2"/>
  <c r="L769" i="2"/>
  <c r="M769" i="2"/>
  <c r="L770" i="2"/>
  <c r="M770" i="2"/>
  <c r="L771" i="2"/>
  <c r="M771" i="2"/>
  <c r="L772" i="2"/>
  <c r="M772" i="2"/>
  <c r="L773" i="2"/>
  <c r="M773" i="2"/>
  <c r="L774" i="2"/>
  <c r="M774" i="2"/>
  <c r="L775" i="2"/>
  <c r="M775" i="2"/>
  <c r="L776" i="2"/>
  <c r="M776" i="2"/>
  <c r="L777" i="2"/>
  <c r="M777" i="2"/>
  <c r="L778" i="2"/>
  <c r="M778" i="2"/>
  <c r="L779" i="2"/>
  <c r="M779" i="2"/>
  <c r="L780" i="2"/>
  <c r="M780" i="2"/>
  <c r="L781" i="2"/>
  <c r="M781" i="2"/>
  <c r="L782" i="2"/>
  <c r="M782" i="2"/>
  <c r="L783" i="2"/>
  <c r="M783" i="2"/>
  <c r="L784" i="2"/>
  <c r="M784" i="2"/>
  <c r="L785" i="2"/>
  <c r="M785" i="2"/>
  <c r="L786" i="2"/>
  <c r="M786" i="2"/>
  <c r="L787" i="2"/>
  <c r="M787" i="2"/>
  <c r="L788" i="2"/>
  <c r="M788" i="2"/>
  <c r="L789" i="2"/>
  <c r="M789" i="2"/>
  <c r="L790" i="2"/>
  <c r="M790" i="2"/>
  <c r="L791" i="2"/>
  <c r="M791" i="2"/>
  <c r="L792" i="2"/>
  <c r="M792" i="2"/>
  <c r="L793" i="2"/>
  <c r="M793" i="2"/>
  <c r="L794" i="2"/>
  <c r="M794" i="2"/>
  <c r="L795" i="2"/>
  <c r="M795" i="2"/>
  <c r="L796" i="2"/>
  <c r="M796" i="2"/>
  <c r="L797" i="2"/>
  <c r="M797" i="2"/>
  <c r="L798" i="2"/>
  <c r="M798" i="2"/>
  <c r="L799" i="2"/>
  <c r="M799" i="2"/>
  <c r="L800" i="2"/>
  <c r="M800" i="2"/>
  <c r="L801" i="2"/>
  <c r="M801" i="2"/>
  <c r="L802" i="2"/>
  <c r="M802" i="2"/>
  <c r="L803" i="2"/>
  <c r="M803" i="2"/>
  <c r="L804" i="2"/>
  <c r="M804" i="2"/>
  <c r="L805" i="2"/>
  <c r="M805" i="2"/>
  <c r="L806" i="2"/>
  <c r="M806" i="2"/>
  <c r="L807" i="2"/>
  <c r="M807" i="2"/>
  <c r="L808" i="2"/>
  <c r="M808" i="2"/>
  <c r="L809" i="2"/>
  <c r="M809" i="2"/>
  <c r="L810" i="2"/>
  <c r="M810" i="2"/>
  <c r="L811" i="2"/>
  <c r="M811" i="2"/>
  <c r="L812" i="2"/>
  <c r="M812" i="2"/>
  <c r="L813" i="2"/>
  <c r="M813" i="2"/>
  <c r="L814" i="2"/>
  <c r="M814" i="2"/>
  <c r="L815" i="2"/>
  <c r="M815" i="2"/>
  <c r="L816" i="2"/>
  <c r="M816" i="2"/>
  <c r="L817" i="2"/>
  <c r="M817" i="2"/>
  <c r="L818" i="2"/>
  <c r="M818" i="2"/>
  <c r="L819" i="2"/>
  <c r="M819" i="2"/>
  <c r="L820" i="2"/>
  <c r="M820" i="2"/>
  <c r="L821" i="2"/>
  <c r="M821" i="2"/>
  <c r="L822" i="2"/>
  <c r="M822" i="2"/>
  <c r="L823" i="2"/>
  <c r="M823" i="2"/>
  <c r="L824" i="2"/>
  <c r="M824" i="2"/>
  <c r="L825" i="2"/>
  <c r="M825" i="2"/>
  <c r="L826" i="2"/>
  <c r="M826" i="2"/>
  <c r="L827" i="2"/>
  <c r="M827" i="2"/>
  <c r="L828" i="2"/>
  <c r="M828" i="2"/>
  <c r="L829" i="2"/>
  <c r="M829" i="2"/>
  <c r="L830" i="2"/>
  <c r="M830" i="2"/>
  <c r="L831" i="2"/>
  <c r="M831" i="2"/>
  <c r="L832" i="2"/>
  <c r="M832" i="2"/>
  <c r="L833" i="2"/>
  <c r="M833" i="2"/>
  <c r="L834" i="2"/>
  <c r="M834" i="2"/>
  <c r="L835" i="2"/>
  <c r="M835" i="2"/>
  <c r="L836" i="2"/>
  <c r="M836" i="2"/>
  <c r="L837" i="2"/>
  <c r="M837" i="2"/>
  <c r="L838" i="2"/>
  <c r="M838" i="2"/>
  <c r="L839" i="2"/>
  <c r="M839" i="2"/>
  <c r="L840" i="2"/>
  <c r="M840" i="2"/>
  <c r="L841" i="2"/>
  <c r="M841" i="2"/>
  <c r="L842" i="2"/>
  <c r="M842" i="2"/>
  <c r="L843" i="2"/>
  <c r="M843" i="2"/>
  <c r="L844" i="2"/>
  <c r="M844" i="2"/>
  <c r="L845" i="2"/>
  <c r="M845" i="2"/>
  <c r="L846" i="2"/>
  <c r="M846" i="2"/>
  <c r="L847" i="2"/>
  <c r="M847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5" i="2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3" i="7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3" i="6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E3" i="7"/>
  <c r="E4" i="7"/>
  <c r="E5" i="7"/>
  <c r="E6" i="7"/>
  <c r="E7" i="7"/>
  <c r="E9" i="7"/>
  <c r="E10" i="7"/>
  <c r="E11" i="7"/>
  <c r="E12" i="7"/>
  <c r="E14" i="7"/>
  <c r="E15" i="7"/>
  <c r="E16" i="7"/>
  <c r="E17" i="7"/>
  <c r="E18" i="7"/>
  <c r="E19" i="7"/>
  <c r="E20" i="7"/>
  <c r="E21" i="7"/>
  <c r="E22" i="7"/>
  <c r="E23" i="7"/>
  <c r="E24" i="7"/>
  <c r="E8" i="7"/>
  <c r="M4" i="7"/>
  <c r="H7" i="8" s="1"/>
  <c r="M5" i="7"/>
  <c r="H8" i="8" s="1"/>
  <c r="M6" i="7"/>
  <c r="H9" i="8" s="1"/>
  <c r="M7" i="7"/>
  <c r="H10" i="8" s="1"/>
  <c r="M8" i="7"/>
  <c r="H11" i="8" s="1"/>
  <c r="M9" i="7"/>
  <c r="H12" i="8" s="1"/>
  <c r="M10" i="7"/>
  <c r="H13" i="8" s="1"/>
  <c r="M11" i="7"/>
  <c r="H14" i="8" s="1"/>
  <c r="M12" i="7"/>
  <c r="H15" i="8" s="1"/>
  <c r="M13" i="7"/>
  <c r="H16" i="8" s="1"/>
  <c r="M14" i="7"/>
  <c r="H17" i="8" s="1"/>
  <c r="M15" i="7"/>
  <c r="H18" i="8" s="1"/>
  <c r="M16" i="7"/>
  <c r="H19" i="8" s="1"/>
  <c r="M17" i="7"/>
  <c r="H20" i="8" s="1"/>
  <c r="M18" i="7"/>
  <c r="H21" i="8" s="1"/>
  <c r="M19" i="7"/>
  <c r="H22" i="8" s="1"/>
  <c r="M20" i="7"/>
  <c r="H23" i="8" s="1"/>
  <c r="M21" i="7"/>
  <c r="H24" i="8" s="1"/>
  <c r="M22" i="7"/>
  <c r="H25" i="8" s="1"/>
  <c r="M23" i="7"/>
  <c r="H26" i="8" s="1"/>
  <c r="M24" i="7"/>
  <c r="H27" i="8" s="1"/>
  <c r="M3" i="7"/>
  <c r="H6" i="8" s="1"/>
  <c r="K5" i="7"/>
  <c r="F8" i="8" s="1"/>
  <c r="L5" i="7"/>
  <c r="G8" i="8" s="1"/>
  <c r="A1" i="8"/>
  <c r="E1" i="7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A1" i="6"/>
  <c r="J169" i="2"/>
  <c r="K169" i="2"/>
  <c r="J170" i="2"/>
  <c r="K170" i="2"/>
  <c r="J171" i="2"/>
  <c r="K171" i="2"/>
  <c r="J172" i="2"/>
  <c r="K172" i="2"/>
  <c r="J173" i="2"/>
  <c r="K173" i="2"/>
  <c r="J174" i="2"/>
  <c r="K174" i="2"/>
  <c r="J175" i="2"/>
  <c r="K175" i="2"/>
  <c r="J176" i="2"/>
  <c r="K176" i="2"/>
  <c r="J177" i="2"/>
  <c r="K177" i="2"/>
  <c r="J178" i="2"/>
  <c r="K178" i="2"/>
  <c r="J179" i="2"/>
  <c r="K179" i="2"/>
  <c r="J180" i="2"/>
  <c r="K180" i="2"/>
  <c r="J181" i="2"/>
  <c r="K181" i="2"/>
  <c r="J182" i="2"/>
  <c r="K182" i="2"/>
  <c r="J183" i="2"/>
  <c r="K183" i="2"/>
  <c r="J184" i="2"/>
  <c r="K184" i="2"/>
  <c r="J185" i="2"/>
  <c r="K185" i="2"/>
  <c r="J186" i="2"/>
  <c r="K186" i="2"/>
  <c r="J187" i="2"/>
  <c r="K187" i="2"/>
  <c r="J188" i="2"/>
  <c r="K188" i="2"/>
  <c r="J189" i="2"/>
  <c r="K189" i="2"/>
  <c r="J190" i="2"/>
  <c r="K190" i="2"/>
  <c r="J191" i="2"/>
  <c r="K191" i="2"/>
  <c r="J192" i="2"/>
  <c r="K192" i="2"/>
  <c r="J193" i="2"/>
  <c r="K193" i="2"/>
  <c r="J194" i="2"/>
  <c r="K194" i="2"/>
  <c r="J195" i="2"/>
  <c r="K195" i="2"/>
  <c r="J196" i="2"/>
  <c r="K196" i="2"/>
  <c r="J197" i="2"/>
  <c r="K197" i="2"/>
  <c r="J198" i="2"/>
  <c r="K198" i="2"/>
  <c r="J199" i="2"/>
  <c r="K199" i="2"/>
  <c r="J200" i="2"/>
  <c r="K200" i="2"/>
  <c r="J201" i="2"/>
  <c r="K201" i="2"/>
  <c r="J202" i="2"/>
  <c r="K202" i="2"/>
  <c r="J203" i="2"/>
  <c r="K203" i="2"/>
  <c r="J204" i="2"/>
  <c r="K204" i="2"/>
  <c r="J205" i="2"/>
  <c r="K205" i="2"/>
  <c r="J206" i="2"/>
  <c r="K206" i="2"/>
  <c r="J207" i="2"/>
  <c r="K207" i="2"/>
  <c r="J208" i="2"/>
  <c r="K208" i="2"/>
  <c r="J209" i="2"/>
  <c r="K209" i="2"/>
  <c r="J210" i="2"/>
  <c r="K210" i="2"/>
  <c r="J211" i="2"/>
  <c r="K211" i="2"/>
  <c r="J212" i="2"/>
  <c r="K212" i="2"/>
  <c r="J213" i="2"/>
  <c r="K213" i="2"/>
  <c r="J214" i="2"/>
  <c r="K214" i="2"/>
  <c r="J215" i="2"/>
  <c r="K215" i="2"/>
  <c r="J216" i="2"/>
  <c r="K216" i="2"/>
  <c r="J217" i="2"/>
  <c r="K217" i="2"/>
  <c r="J218" i="2"/>
  <c r="K218" i="2"/>
  <c r="J219" i="2"/>
  <c r="K219" i="2"/>
  <c r="J220" i="2"/>
  <c r="K220" i="2"/>
  <c r="J221" i="2"/>
  <c r="K221" i="2"/>
  <c r="J222" i="2"/>
  <c r="K222" i="2"/>
  <c r="J223" i="2"/>
  <c r="K223" i="2"/>
  <c r="J224" i="2"/>
  <c r="K224" i="2"/>
  <c r="J225" i="2"/>
  <c r="K225" i="2"/>
  <c r="J226" i="2"/>
  <c r="K226" i="2"/>
  <c r="J227" i="2"/>
  <c r="K227" i="2"/>
  <c r="J228" i="2"/>
  <c r="K228" i="2"/>
  <c r="J229" i="2"/>
  <c r="K229" i="2"/>
  <c r="J230" i="2"/>
  <c r="K230" i="2"/>
  <c r="J231" i="2"/>
  <c r="K231" i="2"/>
  <c r="J232" i="2"/>
  <c r="K232" i="2"/>
  <c r="J233" i="2"/>
  <c r="K233" i="2"/>
  <c r="J234" i="2"/>
  <c r="K234" i="2"/>
  <c r="J235" i="2"/>
  <c r="K235" i="2"/>
  <c r="J236" i="2"/>
  <c r="K236" i="2"/>
  <c r="J237" i="2"/>
  <c r="K237" i="2"/>
  <c r="J238" i="2"/>
  <c r="K238" i="2"/>
  <c r="J239" i="2"/>
  <c r="K239" i="2"/>
  <c r="J240" i="2"/>
  <c r="K240" i="2"/>
  <c r="J241" i="2"/>
  <c r="K241" i="2"/>
  <c r="J242" i="2"/>
  <c r="K242" i="2"/>
  <c r="J243" i="2"/>
  <c r="K243" i="2"/>
  <c r="J244" i="2"/>
  <c r="K244" i="2"/>
  <c r="J245" i="2"/>
  <c r="K245" i="2"/>
  <c r="J246" i="2"/>
  <c r="K246" i="2"/>
  <c r="J247" i="2"/>
  <c r="K247" i="2"/>
  <c r="J248" i="2"/>
  <c r="K248" i="2"/>
  <c r="J249" i="2"/>
  <c r="K249" i="2"/>
  <c r="J250" i="2"/>
  <c r="K250" i="2"/>
  <c r="J251" i="2"/>
  <c r="K251" i="2"/>
  <c r="J252" i="2"/>
  <c r="K252" i="2"/>
  <c r="J253" i="2"/>
  <c r="K253" i="2"/>
  <c r="J254" i="2"/>
  <c r="K254" i="2"/>
  <c r="J255" i="2"/>
  <c r="K255" i="2"/>
  <c r="J256" i="2"/>
  <c r="K256" i="2"/>
  <c r="J257" i="2"/>
  <c r="K257" i="2"/>
  <c r="J258" i="2"/>
  <c r="K258" i="2"/>
  <c r="J259" i="2"/>
  <c r="K259" i="2"/>
  <c r="J260" i="2"/>
  <c r="K260" i="2"/>
  <c r="J261" i="2"/>
  <c r="K261" i="2"/>
  <c r="J262" i="2"/>
  <c r="K262" i="2"/>
  <c r="J263" i="2"/>
  <c r="K263" i="2"/>
  <c r="J264" i="2"/>
  <c r="K264" i="2"/>
  <c r="J265" i="2"/>
  <c r="K265" i="2"/>
  <c r="J266" i="2"/>
  <c r="K266" i="2"/>
  <c r="J267" i="2"/>
  <c r="K267" i="2"/>
  <c r="J268" i="2"/>
  <c r="K268" i="2"/>
  <c r="J269" i="2"/>
  <c r="K269" i="2"/>
  <c r="J270" i="2"/>
  <c r="K270" i="2"/>
  <c r="J271" i="2"/>
  <c r="K271" i="2"/>
  <c r="J272" i="2"/>
  <c r="K272" i="2"/>
  <c r="J273" i="2"/>
  <c r="K273" i="2"/>
  <c r="J274" i="2"/>
  <c r="K274" i="2"/>
  <c r="J275" i="2"/>
  <c r="K275" i="2"/>
  <c r="J276" i="2"/>
  <c r="K276" i="2"/>
  <c r="J277" i="2"/>
  <c r="K277" i="2"/>
  <c r="J278" i="2"/>
  <c r="K278" i="2"/>
  <c r="J279" i="2"/>
  <c r="K279" i="2"/>
  <c r="J280" i="2"/>
  <c r="K280" i="2"/>
  <c r="J281" i="2"/>
  <c r="K281" i="2"/>
  <c r="J282" i="2"/>
  <c r="K282" i="2"/>
  <c r="J283" i="2"/>
  <c r="K283" i="2"/>
  <c r="J284" i="2"/>
  <c r="K284" i="2"/>
  <c r="J285" i="2"/>
  <c r="K285" i="2"/>
  <c r="J286" i="2"/>
  <c r="K286" i="2"/>
  <c r="J287" i="2"/>
  <c r="K287" i="2"/>
  <c r="J288" i="2"/>
  <c r="K288" i="2"/>
  <c r="J289" i="2"/>
  <c r="K289" i="2"/>
  <c r="J290" i="2"/>
  <c r="K290" i="2"/>
  <c r="J291" i="2"/>
  <c r="K291" i="2"/>
  <c r="J292" i="2"/>
  <c r="K292" i="2"/>
  <c r="J293" i="2"/>
  <c r="K293" i="2"/>
  <c r="J294" i="2"/>
  <c r="K294" i="2"/>
  <c r="J295" i="2"/>
  <c r="K295" i="2"/>
  <c r="J296" i="2"/>
  <c r="K296" i="2"/>
  <c r="J297" i="2"/>
  <c r="K297" i="2"/>
  <c r="J298" i="2"/>
  <c r="K298" i="2"/>
  <c r="J299" i="2"/>
  <c r="K299" i="2"/>
  <c r="J300" i="2"/>
  <c r="K300" i="2"/>
  <c r="J301" i="2"/>
  <c r="K301" i="2"/>
  <c r="J302" i="2"/>
  <c r="K302" i="2"/>
  <c r="J303" i="2"/>
  <c r="K303" i="2"/>
  <c r="J304" i="2"/>
  <c r="K304" i="2"/>
  <c r="J305" i="2"/>
  <c r="K305" i="2"/>
  <c r="J306" i="2"/>
  <c r="K306" i="2"/>
  <c r="J307" i="2"/>
  <c r="K307" i="2"/>
  <c r="J308" i="2"/>
  <c r="K308" i="2"/>
  <c r="J309" i="2"/>
  <c r="K309" i="2"/>
  <c r="J310" i="2"/>
  <c r="K310" i="2"/>
  <c r="J311" i="2"/>
  <c r="K311" i="2"/>
  <c r="J312" i="2"/>
  <c r="K312" i="2"/>
  <c r="J313" i="2"/>
  <c r="K313" i="2"/>
  <c r="J314" i="2"/>
  <c r="K314" i="2"/>
  <c r="J315" i="2"/>
  <c r="K315" i="2"/>
  <c r="J316" i="2"/>
  <c r="K316" i="2"/>
  <c r="J317" i="2"/>
  <c r="K317" i="2"/>
  <c r="J318" i="2"/>
  <c r="K318" i="2"/>
  <c r="J319" i="2"/>
  <c r="K319" i="2"/>
  <c r="J320" i="2"/>
  <c r="K320" i="2"/>
  <c r="J321" i="2"/>
  <c r="K321" i="2"/>
  <c r="J322" i="2"/>
  <c r="K322" i="2"/>
  <c r="J323" i="2"/>
  <c r="K323" i="2"/>
  <c r="J324" i="2"/>
  <c r="K324" i="2"/>
  <c r="J325" i="2"/>
  <c r="K325" i="2"/>
  <c r="J326" i="2"/>
  <c r="K326" i="2"/>
  <c r="J327" i="2"/>
  <c r="K327" i="2"/>
  <c r="J328" i="2"/>
  <c r="K328" i="2"/>
  <c r="J329" i="2"/>
  <c r="K329" i="2"/>
  <c r="J330" i="2"/>
  <c r="K330" i="2"/>
  <c r="J331" i="2"/>
  <c r="K331" i="2"/>
  <c r="J332" i="2"/>
  <c r="K332" i="2"/>
  <c r="J333" i="2"/>
  <c r="K333" i="2"/>
  <c r="J334" i="2"/>
  <c r="K334" i="2"/>
  <c r="J335" i="2"/>
  <c r="K335" i="2"/>
  <c r="J336" i="2"/>
  <c r="K336" i="2"/>
  <c r="J337" i="2"/>
  <c r="K337" i="2"/>
  <c r="J338" i="2"/>
  <c r="K338" i="2"/>
  <c r="J339" i="2"/>
  <c r="K339" i="2"/>
  <c r="J340" i="2"/>
  <c r="K340" i="2"/>
  <c r="J341" i="2"/>
  <c r="K341" i="2"/>
  <c r="J342" i="2"/>
  <c r="K342" i="2"/>
  <c r="J343" i="2"/>
  <c r="K343" i="2"/>
  <c r="J344" i="2"/>
  <c r="K344" i="2"/>
  <c r="J345" i="2"/>
  <c r="K345" i="2"/>
  <c r="J346" i="2"/>
  <c r="K346" i="2"/>
  <c r="J347" i="2"/>
  <c r="K347" i="2"/>
  <c r="J348" i="2"/>
  <c r="K348" i="2"/>
  <c r="J349" i="2"/>
  <c r="K349" i="2"/>
  <c r="J350" i="2"/>
  <c r="K350" i="2"/>
  <c r="J351" i="2"/>
  <c r="K351" i="2"/>
  <c r="J352" i="2"/>
  <c r="K352" i="2"/>
  <c r="J353" i="2"/>
  <c r="K353" i="2"/>
  <c r="J354" i="2"/>
  <c r="K354" i="2"/>
  <c r="J355" i="2"/>
  <c r="K355" i="2"/>
  <c r="J356" i="2"/>
  <c r="K356" i="2"/>
  <c r="J357" i="2"/>
  <c r="K357" i="2"/>
  <c r="J358" i="2"/>
  <c r="K358" i="2"/>
  <c r="J359" i="2"/>
  <c r="K359" i="2"/>
  <c r="J360" i="2"/>
  <c r="K360" i="2"/>
  <c r="J361" i="2"/>
  <c r="K361" i="2"/>
  <c r="J362" i="2"/>
  <c r="K362" i="2"/>
  <c r="J363" i="2"/>
  <c r="K363" i="2"/>
  <c r="J364" i="2"/>
  <c r="K364" i="2"/>
  <c r="J365" i="2"/>
  <c r="K365" i="2"/>
  <c r="J366" i="2"/>
  <c r="K366" i="2"/>
  <c r="J367" i="2"/>
  <c r="K367" i="2"/>
  <c r="J368" i="2"/>
  <c r="K368" i="2"/>
  <c r="J369" i="2"/>
  <c r="K369" i="2"/>
  <c r="J370" i="2"/>
  <c r="K370" i="2"/>
  <c r="J371" i="2"/>
  <c r="K371" i="2"/>
  <c r="J372" i="2"/>
  <c r="K372" i="2"/>
  <c r="J373" i="2"/>
  <c r="K373" i="2"/>
  <c r="J374" i="2"/>
  <c r="K374" i="2"/>
  <c r="J375" i="2"/>
  <c r="K375" i="2"/>
  <c r="J376" i="2"/>
  <c r="K376" i="2"/>
  <c r="J377" i="2"/>
  <c r="K377" i="2"/>
  <c r="J378" i="2"/>
  <c r="K378" i="2"/>
  <c r="J379" i="2"/>
  <c r="K379" i="2"/>
  <c r="J380" i="2"/>
  <c r="K380" i="2"/>
  <c r="J381" i="2"/>
  <c r="K381" i="2"/>
  <c r="J382" i="2"/>
  <c r="K382" i="2"/>
  <c r="J383" i="2"/>
  <c r="K383" i="2"/>
  <c r="J384" i="2"/>
  <c r="K384" i="2"/>
  <c r="J385" i="2"/>
  <c r="K385" i="2"/>
  <c r="J386" i="2"/>
  <c r="K386" i="2"/>
  <c r="J387" i="2"/>
  <c r="K387" i="2"/>
  <c r="J388" i="2"/>
  <c r="K388" i="2"/>
  <c r="J389" i="2"/>
  <c r="K389" i="2"/>
  <c r="J390" i="2"/>
  <c r="K390" i="2"/>
  <c r="J391" i="2"/>
  <c r="K391" i="2"/>
  <c r="J392" i="2"/>
  <c r="K392" i="2"/>
  <c r="J393" i="2"/>
  <c r="K393" i="2"/>
  <c r="J394" i="2"/>
  <c r="K394" i="2"/>
  <c r="J395" i="2"/>
  <c r="K395" i="2"/>
  <c r="J396" i="2"/>
  <c r="K396" i="2"/>
  <c r="J397" i="2"/>
  <c r="K397" i="2"/>
  <c r="J398" i="2"/>
  <c r="K398" i="2"/>
  <c r="J399" i="2"/>
  <c r="K399" i="2"/>
  <c r="J400" i="2"/>
  <c r="K400" i="2"/>
  <c r="J401" i="2"/>
  <c r="K401" i="2"/>
  <c r="J402" i="2"/>
  <c r="K402" i="2"/>
  <c r="J403" i="2"/>
  <c r="K403" i="2"/>
  <c r="J404" i="2"/>
  <c r="K404" i="2"/>
  <c r="J405" i="2"/>
  <c r="K405" i="2"/>
  <c r="J406" i="2"/>
  <c r="K406" i="2"/>
  <c r="J407" i="2"/>
  <c r="K407" i="2"/>
  <c r="J408" i="2"/>
  <c r="K408" i="2"/>
  <c r="J409" i="2"/>
  <c r="K409" i="2"/>
  <c r="J410" i="2"/>
  <c r="K410" i="2"/>
  <c r="J411" i="2"/>
  <c r="K411" i="2"/>
  <c r="J412" i="2"/>
  <c r="K412" i="2"/>
  <c r="J413" i="2"/>
  <c r="K413" i="2"/>
  <c r="J414" i="2"/>
  <c r="K414" i="2"/>
  <c r="J415" i="2"/>
  <c r="K415" i="2"/>
  <c r="J416" i="2"/>
  <c r="K416" i="2"/>
  <c r="J417" i="2"/>
  <c r="K417" i="2"/>
  <c r="J418" i="2"/>
  <c r="K418" i="2"/>
  <c r="J419" i="2"/>
  <c r="K419" i="2"/>
  <c r="J420" i="2"/>
  <c r="K420" i="2"/>
  <c r="J421" i="2"/>
  <c r="K421" i="2"/>
  <c r="J422" i="2"/>
  <c r="K422" i="2"/>
  <c r="J423" i="2"/>
  <c r="K423" i="2"/>
  <c r="J424" i="2"/>
  <c r="K424" i="2"/>
  <c r="J425" i="2"/>
  <c r="K425" i="2"/>
  <c r="J426" i="2"/>
  <c r="K426" i="2"/>
  <c r="J427" i="2"/>
  <c r="K427" i="2"/>
  <c r="J428" i="2"/>
  <c r="K428" i="2"/>
  <c r="J429" i="2"/>
  <c r="K429" i="2"/>
  <c r="J430" i="2"/>
  <c r="K430" i="2"/>
  <c r="J431" i="2"/>
  <c r="K431" i="2"/>
  <c r="J432" i="2"/>
  <c r="K432" i="2"/>
  <c r="J433" i="2"/>
  <c r="K433" i="2"/>
  <c r="J434" i="2"/>
  <c r="K434" i="2"/>
  <c r="J435" i="2"/>
  <c r="K435" i="2"/>
  <c r="J436" i="2"/>
  <c r="K436" i="2"/>
  <c r="J437" i="2"/>
  <c r="K437" i="2"/>
  <c r="J438" i="2"/>
  <c r="K438" i="2"/>
  <c r="J439" i="2"/>
  <c r="K439" i="2"/>
  <c r="J440" i="2"/>
  <c r="K440" i="2"/>
  <c r="J441" i="2"/>
  <c r="K441" i="2"/>
  <c r="J442" i="2"/>
  <c r="K442" i="2"/>
  <c r="J443" i="2"/>
  <c r="K443" i="2"/>
  <c r="J444" i="2"/>
  <c r="K444" i="2"/>
  <c r="J445" i="2"/>
  <c r="K445" i="2"/>
  <c r="J446" i="2"/>
  <c r="K446" i="2"/>
  <c r="J447" i="2"/>
  <c r="K447" i="2"/>
  <c r="J448" i="2"/>
  <c r="K448" i="2"/>
  <c r="J449" i="2"/>
  <c r="K449" i="2"/>
  <c r="J450" i="2"/>
  <c r="K450" i="2"/>
  <c r="J451" i="2"/>
  <c r="K451" i="2"/>
  <c r="J452" i="2"/>
  <c r="K452" i="2"/>
  <c r="J453" i="2"/>
  <c r="K453" i="2"/>
  <c r="J454" i="2"/>
  <c r="K454" i="2"/>
  <c r="J455" i="2"/>
  <c r="K455" i="2"/>
  <c r="J456" i="2"/>
  <c r="K456" i="2"/>
  <c r="J457" i="2"/>
  <c r="K457" i="2"/>
  <c r="J458" i="2"/>
  <c r="K458" i="2"/>
  <c r="J459" i="2"/>
  <c r="K459" i="2"/>
  <c r="J460" i="2"/>
  <c r="K460" i="2"/>
  <c r="J461" i="2"/>
  <c r="K461" i="2"/>
  <c r="J462" i="2"/>
  <c r="K462" i="2"/>
  <c r="J463" i="2"/>
  <c r="K463" i="2"/>
  <c r="J464" i="2"/>
  <c r="K464" i="2"/>
  <c r="J465" i="2"/>
  <c r="K465" i="2"/>
  <c r="J466" i="2"/>
  <c r="K466" i="2"/>
  <c r="J467" i="2"/>
  <c r="K467" i="2"/>
  <c r="J468" i="2"/>
  <c r="K468" i="2"/>
  <c r="J469" i="2"/>
  <c r="K469" i="2"/>
  <c r="J470" i="2"/>
  <c r="K470" i="2"/>
  <c r="J471" i="2"/>
  <c r="K471" i="2"/>
  <c r="J472" i="2"/>
  <c r="K472" i="2"/>
  <c r="J473" i="2"/>
  <c r="K473" i="2"/>
  <c r="J474" i="2"/>
  <c r="K474" i="2"/>
  <c r="J475" i="2"/>
  <c r="K475" i="2"/>
  <c r="J476" i="2"/>
  <c r="K476" i="2"/>
  <c r="J477" i="2"/>
  <c r="K477" i="2"/>
  <c r="J478" i="2"/>
  <c r="K478" i="2"/>
  <c r="J479" i="2"/>
  <c r="K479" i="2"/>
  <c r="J480" i="2"/>
  <c r="K480" i="2"/>
  <c r="J481" i="2"/>
  <c r="K481" i="2"/>
  <c r="J482" i="2"/>
  <c r="K482" i="2"/>
  <c r="J483" i="2"/>
  <c r="K483" i="2"/>
  <c r="J484" i="2"/>
  <c r="K484" i="2"/>
  <c r="J485" i="2"/>
  <c r="K485" i="2"/>
  <c r="J486" i="2"/>
  <c r="K486" i="2"/>
  <c r="J487" i="2"/>
  <c r="K487" i="2"/>
  <c r="J488" i="2"/>
  <c r="K488" i="2"/>
  <c r="J489" i="2"/>
  <c r="K489" i="2"/>
  <c r="J490" i="2"/>
  <c r="K490" i="2"/>
  <c r="J491" i="2"/>
  <c r="K491" i="2"/>
  <c r="J492" i="2"/>
  <c r="K492" i="2"/>
  <c r="J493" i="2"/>
  <c r="K493" i="2"/>
  <c r="J494" i="2"/>
  <c r="K494" i="2"/>
  <c r="J495" i="2"/>
  <c r="K495" i="2"/>
  <c r="J496" i="2"/>
  <c r="K496" i="2"/>
  <c r="J497" i="2"/>
  <c r="K497" i="2"/>
  <c r="J498" i="2"/>
  <c r="K498" i="2"/>
  <c r="J499" i="2"/>
  <c r="K499" i="2"/>
  <c r="J500" i="2"/>
  <c r="K500" i="2"/>
  <c r="J501" i="2"/>
  <c r="K501" i="2"/>
  <c r="J502" i="2"/>
  <c r="K502" i="2"/>
  <c r="J503" i="2"/>
  <c r="K503" i="2"/>
  <c r="J504" i="2"/>
  <c r="K504" i="2"/>
  <c r="J505" i="2"/>
  <c r="K505" i="2"/>
  <c r="J506" i="2"/>
  <c r="K506" i="2"/>
  <c r="J507" i="2"/>
  <c r="K507" i="2"/>
  <c r="J508" i="2"/>
  <c r="K508" i="2"/>
  <c r="J509" i="2"/>
  <c r="K509" i="2"/>
  <c r="J510" i="2"/>
  <c r="K510" i="2"/>
  <c r="J511" i="2"/>
  <c r="K511" i="2"/>
  <c r="J512" i="2"/>
  <c r="K512" i="2"/>
  <c r="J513" i="2"/>
  <c r="K513" i="2"/>
  <c r="J514" i="2"/>
  <c r="K514" i="2"/>
  <c r="J515" i="2"/>
  <c r="K515" i="2"/>
  <c r="J516" i="2"/>
  <c r="K516" i="2"/>
  <c r="J517" i="2"/>
  <c r="K517" i="2"/>
  <c r="J518" i="2"/>
  <c r="K518" i="2"/>
  <c r="J519" i="2"/>
  <c r="K519" i="2"/>
  <c r="J520" i="2"/>
  <c r="K520" i="2"/>
  <c r="J521" i="2"/>
  <c r="K521" i="2"/>
  <c r="J522" i="2"/>
  <c r="K522" i="2"/>
  <c r="J523" i="2"/>
  <c r="K523" i="2"/>
  <c r="J524" i="2"/>
  <c r="K524" i="2"/>
  <c r="J525" i="2"/>
  <c r="K525" i="2"/>
  <c r="J526" i="2"/>
  <c r="K526" i="2"/>
  <c r="J527" i="2"/>
  <c r="K527" i="2"/>
  <c r="J528" i="2"/>
  <c r="K528" i="2"/>
  <c r="J529" i="2"/>
  <c r="K529" i="2"/>
  <c r="J530" i="2"/>
  <c r="K530" i="2"/>
  <c r="J531" i="2"/>
  <c r="K531" i="2"/>
  <c r="J532" i="2"/>
  <c r="K532" i="2"/>
  <c r="J533" i="2"/>
  <c r="K533" i="2"/>
  <c r="J534" i="2"/>
  <c r="K534" i="2"/>
  <c r="J535" i="2"/>
  <c r="K535" i="2"/>
  <c r="J536" i="2"/>
  <c r="K536" i="2"/>
  <c r="J537" i="2"/>
  <c r="K537" i="2"/>
  <c r="J538" i="2"/>
  <c r="K538" i="2"/>
  <c r="J539" i="2"/>
  <c r="K539" i="2"/>
  <c r="J540" i="2"/>
  <c r="K540" i="2"/>
  <c r="J541" i="2"/>
  <c r="K541" i="2"/>
  <c r="J542" i="2"/>
  <c r="K542" i="2"/>
  <c r="J543" i="2"/>
  <c r="K543" i="2"/>
  <c r="J544" i="2"/>
  <c r="K544" i="2"/>
  <c r="J545" i="2"/>
  <c r="K545" i="2"/>
  <c r="J546" i="2"/>
  <c r="K546" i="2"/>
  <c r="J547" i="2"/>
  <c r="K547" i="2"/>
  <c r="J548" i="2"/>
  <c r="K548" i="2"/>
  <c r="J549" i="2"/>
  <c r="K549" i="2"/>
  <c r="J550" i="2"/>
  <c r="K550" i="2"/>
  <c r="J551" i="2"/>
  <c r="K551" i="2"/>
  <c r="J552" i="2"/>
  <c r="K552" i="2"/>
  <c r="J553" i="2"/>
  <c r="K553" i="2"/>
  <c r="J554" i="2"/>
  <c r="K554" i="2"/>
  <c r="J555" i="2"/>
  <c r="K555" i="2"/>
  <c r="J556" i="2"/>
  <c r="K556" i="2"/>
  <c r="J557" i="2"/>
  <c r="K557" i="2"/>
  <c r="J558" i="2"/>
  <c r="K558" i="2"/>
  <c r="J559" i="2"/>
  <c r="K559" i="2"/>
  <c r="J560" i="2"/>
  <c r="K560" i="2"/>
  <c r="J561" i="2"/>
  <c r="K561" i="2"/>
  <c r="J562" i="2"/>
  <c r="K562" i="2"/>
  <c r="J563" i="2"/>
  <c r="K563" i="2"/>
  <c r="J564" i="2"/>
  <c r="K564" i="2"/>
  <c r="J565" i="2"/>
  <c r="K565" i="2"/>
  <c r="J566" i="2"/>
  <c r="K566" i="2"/>
  <c r="J567" i="2"/>
  <c r="K567" i="2"/>
  <c r="J568" i="2"/>
  <c r="K568" i="2"/>
  <c r="J569" i="2"/>
  <c r="K569" i="2"/>
  <c r="J570" i="2"/>
  <c r="K570" i="2"/>
  <c r="J571" i="2"/>
  <c r="K571" i="2"/>
  <c r="J572" i="2"/>
  <c r="K572" i="2"/>
  <c r="J573" i="2"/>
  <c r="K573" i="2"/>
  <c r="J574" i="2"/>
  <c r="K574" i="2"/>
  <c r="J575" i="2"/>
  <c r="K575" i="2"/>
  <c r="J576" i="2"/>
  <c r="K576" i="2"/>
  <c r="J577" i="2"/>
  <c r="K577" i="2"/>
  <c r="J578" i="2"/>
  <c r="K578" i="2"/>
  <c r="J579" i="2"/>
  <c r="K579" i="2"/>
  <c r="J580" i="2"/>
  <c r="K580" i="2"/>
  <c r="J581" i="2"/>
  <c r="K581" i="2"/>
  <c r="J582" i="2"/>
  <c r="K582" i="2"/>
  <c r="J583" i="2"/>
  <c r="K583" i="2"/>
  <c r="J584" i="2"/>
  <c r="K584" i="2"/>
  <c r="J585" i="2"/>
  <c r="K585" i="2"/>
  <c r="J586" i="2"/>
  <c r="K586" i="2"/>
  <c r="J587" i="2"/>
  <c r="K587" i="2"/>
  <c r="J588" i="2"/>
  <c r="K588" i="2"/>
  <c r="J589" i="2"/>
  <c r="K589" i="2"/>
  <c r="J590" i="2"/>
  <c r="K590" i="2"/>
  <c r="J591" i="2"/>
  <c r="K591" i="2"/>
  <c r="J592" i="2"/>
  <c r="K592" i="2"/>
  <c r="J593" i="2"/>
  <c r="K593" i="2"/>
  <c r="J594" i="2"/>
  <c r="K594" i="2"/>
  <c r="J595" i="2"/>
  <c r="K595" i="2"/>
  <c r="J596" i="2"/>
  <c r="K596" i="2"/>
  <c r="J597" i="2"/>
  <c r="K597" i="2"/>
  <c r="J598" i="2"/>
  <c r="K598" i="2"/>
  <c r="J599" i="2"/>
  <c r="K599" i="2"/>
  <c r="J600" i="2"/>
  <c r="K600" i="2"/>
  <c r="J601" i="2"/>
  <c r="K601" i="2"/>
  <c r="J602" i="2"/>
  <c r="K602" i="2"/>
  <c r="J603" i="2"/>
  <c r="K603" i="2"/>
  <c r="J604" i="2"/>
  <c r="K604" i="2"/>
  <c r="J605" i="2"/>
  <c r="K605" i="2"/>
  <c r="J606" i="2"/>
  <c r="K606" i="2"/>
  <c r="J607" i="2"/>
  <c r="K607" i="2"/>
  <c r="J608" i="2"/>
  <c r="K608" i="2"/>
  <c r="J609" i="2"/>
  <c r="K609" i="2"/>
  <c r="J610" i="2"/>
  <c r="K610" i="2"/>
  <c r="J611" i="2"/>
  <c r="K611" i="2"/>
  <c r="J612" i="2"/>
  <c r="K612" i="2"/>
  <c r="J613" i="2"/>
  <c r="K613" i="2"/>
  <c r="J614" i="2"/>
  <c r="K614" i="2"/>
  <c r="J615" i="2"/>
  <c r="K615" i="2"/>
  <c r="J616" i="2"/>
  <c r="K616" i="2"/>
  <c r="J617" i="2"/>
  <c r="K617" i="2"/>
  <c r="J618" i="2"/>
  <c r="K618" i="2"/>
  <c r="J619" i="2"/>
  <c r="K619" i="2"/>
  <c r="J620" i="2"/>
  <c r="K620" i="2"/>
  <c r="J621" i="2"/>
  <c r="K621" i="2"/>
  <c r="J622" i="2"/>
  <c r="K622" i="2"/>
  <c r="J623" i="2"/>
  <c r="K623" i="2"/>
  <c r="J624" i="2"/>
  <c r="K624" i="2"/>
  <c r="J625" i="2"/>
  <c r="K625" i="2"/>
  <c r="J626" i="2"/>
  <c r="K626" i="2"/>
  <c r="J627" i="2"/>
  <c r="K627" i="2"/>
  <c r="J628" i="2"/>
  <c r="K628" i="2"/>
  <c r="J629" i="2"/>
  <c r="K629" i="2"/>
  <c r="J630" i="2"/>
  <c r="K630" i="2"/>
  <c r="J631" i="2"/>
  <c r="K631" i="2"/>
  <c r="J632" i="2"/>
  <c r="K632" i="2"/>
  <c r="J633" i="2"/>
  <c r="K633" i="2"/>
  <c r="J634" i="2"/>
  <c r="K634" i="2"/>
  <c r="J635" i="2"/>
  <c r="K635" i="2"/>
  <c r="J636" i="2"/>
  <c r="K636" i="2"/>
  <c r="J637" i="2"/>
  <c r="K637" i="2"/>
  <c r="J638" i="2"/>
  <c r="K638" i="2"/>
  <c r="J639" i="2"/>
  <c r="K639" i="2"/>
  <c r="J640" i="2"/>
  <c r="K640" i="2"/>
  <c r="J641" i="2"/>
  <c r="K641" i="2"/>
  <c r="J642" i="2"/>
  <c r="K642" i="2"/>
  <c r="J643" i="2"/>
  <c r="K643" i="2"/>
  <c r="J644" i="2"/>
  <c r="K644" i="2"/>
  <c r="J645" i="2"/>
  <c r="K645" i="2"/>
  <c r="J646" i="2"/>
  <c r="K646" i="2"/>
  <c r="J647" i="2"/>
  <c r="K647" i="2"/>
  <c r="J648" i="2"/>
  <c r="K648" i="2"/>
  <c r="J649" i="2"/>
  <c r="K649" i="2"/>
  <c r="J650" i="2"/>
  <c r="K650" i="2"/>
  <c r="J651" i="2"/>
  <c r="K651" i="2"/>
  <c r="J652" i="2"/>
  <c r="K652" i="2"/>
  <c r="J653" i="2"/>
  <c r="K653" i="2"/>
  <c r="J654" i="2"/>
  <c r="K654" i="2"/>
  <c r="J655" i="2"/>
  <c r="K655" i="2"/>
  <c r="J656" i="2"/>
  <c r="K656" i="2"/>
  <c r="J657" i="2"/>
  <c r="K657" i="2"/>
  <c r="J658" i="2"/>
  <c r="K658" i="2"/>
  <c r="J659" i="2"/>
  <c r="K659" i="2"/>
  <c r="J660" i="2"/>
  <c r="K660" i="2"/>
  <c r="J661" i="2"/>
  <c r="K661" i="2"/>
  <c r="J662" i="2"/>
  <c r="K662" i="2"/>
  <c r="J663" i="2"/>
  <c r="K663" i="2"/>
  <c r="J664" i="2"/>
  <c r="K664" i="2"/>
  <c r="J665" i="2"/>
  <c r="K665" i="2"/>
  <c r="J666" i="2"/>
  <c r="K666" i="2"/>
  <c r="J667" i="2"/>
  <c r="K667" i="2"/>
  <c r="J668" i="2"/>
  <c r="K668" i="2"/>
  <c r="J669" i="2"/>
  <c r="K669" i="2"/>
  <c r="J670" i="2"/>
  <c r="K670" i="2"/>
  <c r="J671" i="2"/>
  <c r="K671" i="2"/>
  <c r="J672" i="2"/>
  <c r="K672" i="2"/>
  <c r="J673" i="2"/>
  <c r="K673" i="2"/>
  <c r="J674" i="2"/>
  <c r="K674" i="2"/>
  <c r="J675" i="2"/>
  <c r="K675" i="2"/>
  <c r="J676" i="2"/>
  <c r="K676" i="2"/>
  <c r="J677" i="2"/>
  <c r="K677" i="2"/>
  <c r="J678" i="2"/>
  <c r="K678" i="2"/>
  <c r="J679" i="2"/>
  <c r="K679" i="2"/>
  <c r="J680" i="2"/>
  <c r="K680" i="2"/>
  <c r="J681" i="2"/>
  <c r="K681" i="2"/>
  <c r="J682" i="2"/>
  <c r="K682" i="2"/>
  <c r="J683" i="2"/>
  <c r="K683" i="2"/>
  <c r="J684" i="2"/>
  <c r="K684" i="2"/>
  <c r="J685" i="2"/>
  <c r="K685" i="2"/>
  <c r="J686" i="2"/>
  <c r="K686" i="2"/>
  <c r="J687" i="2"/>
  <c r="K687" i="2"/>
  <c r="J688" i="2"/>
  <c r="K688" i="2"/>
  <c r="J689" i="2"/>
  <c r="K689" i="2"/>
  <c r="J690" i="2"/>
  <c r="K690" i="2"/>
  <c r="J691" i="2"/>
  <c r="K691" i="2"/>
  <c r="J692" i="2"/>
  <c r="K692" i="2"/>
  <c r="J693" i="2"/>
  <c r="K693" i="2"/>
  <c r="J694" i="2"/>
  <c r="K694" i="2"/>
  <c r="J695" i="2"/>
  <c r="K695" i="2"/>
  <c r="J696" i="2"/>
  <c r="K696" i="2"/>
  <c r="J697" i="2"/>
  <c r="K697" i="2"/>
  <c r="J698" i="2"/>
  <c r="K698" i="2"/>
  <c r="J699" i="2"/>
  <c r="K699" i="2"/>
  <c r="J700" i="2"/>
  <c r="K700" i="2"/>
  <c r="J701" i="2"/>
  <c r="K701" i="2"/>
  <c r="J702" i="2"/>
  <c r="K702" i="2"/>
  <c r="J703" i="2"/>
  <c r="K703" i="2"/>
  <c r="J704" i="2"/>
  <c r="K704" i="2"/>
  <c r="J705" i="2"/>
  <c r="K705" i="2"/>
  <c r="J706" i="2"/>
  <c r="K706" i="2"/>
  <c r="J707" i="2"/>
  <c r="K707" i="2"/>
  <c r="J708" i="2"/>
  <c r="K708" i="2"/>
  <c r="J709" i="2"/>
  <c r="K709" i="2"/>
  <c r="J710" i="2"/>
  <c r="K710" i="2"/>
  <c r="J711" i="2"/>
  <c r="K711" i="2"/>
  <c r="J712" i="2"/>
  <c r="K712" i="2"/>
  <c r="J713" i="2"/>
  <c r="K713" i="2"/>
  <c r="J714" i="2"/>
  <c r="K714" i="2"/>
  <c r="J715" i="2"/>
  <c r="K715" i="2"/>
  <c r="J716" i="2"/>
  <c r="K716" i="2"/>
  <c r="J717" i="2"/>
  <c r="K717" i="2"/>
  <c r="J718" i="2"/>
  <c r="K718" i="2"/>
  <c r="J719" i="2"/>
  <c r="K719" i="2"/>
  <c r="J720" i="2"/>
  <c r="K720" i="2"/>
  <c r="J721" i="2"/>
  <c r="K721" i="2"/>
  <c r="J722" i="2"/>
  <c r="K722" i="2"/>
  <c r="J723" i="2"/>
  <c r="K723" i="2"/>
  <c r="J724" i="2"/>
  <c r="K724" i="2"/>
  <c r="J725" i="2"/>
  <c r="K725" i="2"/>
  <c r="J726" i="2"/>
  <c r="K726" i="2"/>
  <c r="J727" i="2"/>
  <c r="K727" i="2"/>
  <c r="J728" i="2"/>
  <c r="K728" i="2"/>
  <c r="J729" i="2"/>
  <c r="K729" i="2"/>
  <c r="J730" i="2"/>
  <c r="K730" i="2"/>
  <c r="J731" i="2"/>
  <c r="K731" i="2"/>
  <c r="J732" i="2"/>
  <c r="K732" i="2"/>
  <c r="J733" i="2"/>
  <c r="K733" i="2"/>
  <c r="J734" i="2"/>
  <c r="K734" i="2"/>
  <c r="J735" i="2"/>
  <c r="K735" i="2"/>
  <c r="J736" i="2"/>
  <c r="K736" i="2"/>
  <c r="J737" i="2"/>
  <c r="K737" i="2"/>
  <c r="J738" i="2"/>
  <c r="K738" i="2"/>
  <c r="J739" i="2"/>
  <c r="K739" i="2"/>
  <c r="J740" i="2"/>
  <c r="K740" i="2"/>
  <c r="J741" i="2"/>
  <c r="K741" i="2"/>
  <c r="J742" i="2"/>
  <c r="K742" i="2"/>
  <c r="J743" i="2"/>
  <c r="K743" i="2"/>
  <c r="J744" i="2"/>
  <c r="K744" i="2"/>
  <c r="J745" i="2"/>
  <c r="K745" i="2"/>
  <c r="J746" i="2"/>
  <c r="K746" i="2"/>
  <c r="J747" i="2"/>
  <c r="K747" i="2"/>
  <c r="J748" i="2"/>
  <c r="K748" i="2"/>
  <c r="J749" i="2"/>
  <c r="K749" i="2"/>
  <c r="J750" i="2"/>
  <c r="K750" i="2"/>
  <c r="J751" i="2"/>
  <c r="K751" i="2"/>
  <c r="J752" i="2"/>
  <c r="K752" i="2"/>
  <c r="J753" i="2"/>
  <c r="K753" i="2"/>
  <c r="J754" i="2"/>
  <c r="K754" i="2"/>
  <c r="J755" i="2"/>
  <c r="K755" i="2"/>
  <c r="J756" i="2"/>
  <c r="K756" i="2"/>
  <c r="J757" i="2"/>
  <c r="K757" i="2"/>
  <c r="J758" i="2"/>
  <c r="K758" i="2"/>
  <c r="J759" i="2"/>
  <c r="K759" i="2"/>
  <c r="J760" i="2"/>
  <c r="K760" i="2"/>
  <c r="J761" i="2"/>
  <c r="K761" i="2"/>
  <c r="J762" i="2"/>
  <c r="K762" i="2"/>
  <c r="J763" i="2"/>
  <c r="K763" i="2"/>
  <c r="J764" i="2"/>
  <c r="K764" i="2"/>
  <c r="J765" i="2"/>
  <c r="K765" i="2"/>
  <c r="J766" i="2"/>
  <c r="K766" i="2"/>
  <c r="J767" i="2"/>
  <c r="K767" i="2"/>
  <c r="J768" i="2"/>
  <c r="K768" i="2"/>
  <c r="J769" i="2"/>
  <c r="K769" i="2"/>
  <c r="J770" i="2"/>
  <c r="K770" i="2"/>
  <c r="J771" i="2"/>
  <c r="K771" i="2"/>
  <c r="J772" i="2"/>
  <c r="K772" i="2"/>
  <c r="J773" i="2"/>
  <c r="K773" i="2"/>
  <c r="J774" i="2"/>
  <c r="K774" i="2"/>
  <c r="J775" i="2"/>
  <c r="K775" i="2"/>
  <c r="J776" i="2"/>
  <c r="K776" i="2"/>
  <c r="J777" i="2"/>
  <c r="K777" i="2"/>
  <c r="J778" i="2"/>
  <c r="K778" i="2"/>
  <c r="J779" i="2"/>
  <c r="K779" i="2"/>
  <c r="J780" i="2"/>
  <c r="K780" i="2"/>
  <c r="J781" i="2"/>
  <c r="K781" i="2"/>
  <c r="J782" i="2"/>
  <c r="K782" i="2"/>
  <c r="J783" i="2"/>
  <c r="K783" i="2"/>
  <c r="J784" i="2"/>
  <c r="K784" i="2"/>
  <c r="J785" i="2"/>
  <c r="K785" i="2"/>
  <c r="J786" i="2"/>
  <c r="K786" i="2"/>
  <c r="J787" i="2"/>
  <c r="K787" i="2"/>
  <c r="J788" i="2"/>
  <c r="K788" i="2"/>
  <c r="J789" i="2"/>
  <c r="K789" i="2"/>
  <c r="J790" i="2"/>
  <c r="K790" i="2"/>
  <c r="J791" i="2"/>
  <c r="K791" i="2"/>
  <c r="J792" i="2"/>
  <c r="K792" i="2"/>
  <c r="J793" i="2"/>
  <c r="K793" i="2"/>
  <c r="J794" i="2"/>
  <c r="K794" i="2"/>
  <c r="J795" i="2"/>
  <c r="K795" i="2"/>
  <c r="J796" i="2"/>
  <c r="K796" i="2"/>
  <c r="J797" i="2"/>
  <c r="K797" i="2"/>
  <c r="J798" i="2"/>
  <c r="K798" i="2"/>
  <c r="J799" i="2"/>
  <c r="K799" i="2"/>
  <c r="J800" i="2"/>
  <c r="K800" i="2"/>
  <c r="J801" i="2"/>
  <c r="K801" i="2"/>
  <c r="J802" i="2"/>
  <c r="K802" i="2"/>
  <c r="J803" i="2"/>
  <c r="K803" i="2"/>
  <c r="J804" i="2"/>
  <c r="K804" i="2"/>
  <c r="J805" i="2"/>
  <c r="K805" i="2"/>
  <c r="J806" i="2"/>
  <c r="K806" i="2"/>
  <c r="J807" i="2"/>
  <c r="K807" i="2"/>
  <c r="J808" i="2"/>
  <c r="K808" i="2"/>
  <c r="J809" i="2"/>
  <c r="K809" i="2"/>
  <c r="J810" i="2"/>
  <c r="K810" i="2"/>
  <c r="J811" i="2"/>
  <c r="K811" i="2"/>
  <c r="J812" i="2"/>
  <c r="K812" i="2"/>
  <c r="J813" i="2"/>
  <c r="K813" i="2"/>
  <c r="J814" i="2"/>
  <c r="K814" i="2"/>
  <c r="J815" i="2"/>
  <c r="K815" i="2"/>
  <c r="J816" i="2"/>
  <c r="K816" i="2"/>
  <c r="J817" i="2"/>
  <c r="K817" i="2"/>
  <c r="J818" i="2"/>
  <c r="K818" i="2"/>
  <c r="J819" i="2"/>
  <c r="K819" i="2"/>
  <c r="J820" i="2"/>
  <c r="K820" i="2"/>
  <c r="J821" i="2"/>
  <c r="K821" i="2"/>
  <c r="J822" i="2"/>
  <c r="K822" i="2"/>
  <c r="J823" i="2"/>
  <c r="K823" i="2"/>
  <c r="J824" i="2"/>
  <c r="K824" i="2"/>
  <c r="J825" i="2"/>
  <c r="K825" i="2"/>
  <c r="J826" i="2"/>
  <c r="K826" i="2"/>
  <c r="J827" i="2"/>
  <c r="K827" i="2"/>
  <c r="J828" i="2"/>
  <c r="K828" i="2"/>
  <c r="J829" i="2"/>
  <c r="K829" i="2"/>
  <c r="J830" i="2"/>
  <c r="K830" i="2"/>
  <c r="J831" i="2"/>
  <c r="K831" i="2"/>
  <c r="J832" i="2"/>
  <c r="K832" i="2"/>
  <c r="J833" i="2"/>
  <c r="K833" i="2"/>
  <c r="J834" i="2"/>
  <c r="K834" i="2"/>
  <c r="J835" i="2"/>
  <c r="K835" i="2"/>
  <c r="J836" i="2"/>
  <c r="K836" i="2"/>
  <c r="J837" i="2"/>
  <c r="K837" i="2"/>
  <c r="J838" i="2"/>
  <c r="K838" i="2"/>
  <c r="J839" i="2"/>
  <c r="K839" i="2"/>
  <c r="J840" i="2"/>
  <c r="K840" i="2"/>
  <c r="J841" i="2"/>
  <c r="K841" i="2"/>
  <c r="J842" i="2"/>
  <c r="K842" i="2"/>
  <c r="J843" i="2"/>
  <c r="K843" i="2"/>
  <c r="J844" i="2"/>
  <c r="K844" i="2"/>
  <c r="J845" i="2"/>
  <c r="K845" i="2"/>
  <c r="J846" i="2"/>
  <c r="K846" i="2"/>
  <c r="J847" i="2"/>
  <c r="K847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5" i="2"/>
  <c r="D32" i="8"/>
  <c r="M25" i="7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K25" i="6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5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0" i="2"/>
  <c r="L8" i="2"/>
  <c r="L9" i="2"/>
  <c r="L5" i="2"/>
  <c r="L6" i="2"/>
  <c r="L7" i="2"/>
  <c r="F5" i="6" l="1"/>
  <c r="R5" i="7" s="1"/>
  <c r="E5" i="6"/>
  <c r="Q5" i="7" s="1"/>
  <c r="D5" i="6"/>
  <c r="P5" i="7" s="1"/>
  <c r="C5" i="6"/>
  <c r="O5" i="7" s="1"/>
  <c r="F7" i="6"/>
  <c r="R7" i="7" s="1"/>
  <c r="F4" i="6"/>
  <c r="R4" i="7" s="1"/>
  <c r="E7" i="6"/>
  <c r="E4" i="6"/>
  <c r="D7" i="6"/>
  <c r="P7" i="7" s="1"/>
  <c r="D4" i="6"/>
  <c r="P4" i="7" s="1"/>
  <c r="C7" i="6"/>
  <c r="C4" i="6"/>
  <c r="O4" i="7" s="1"/>
  <c r="F6" i="6"/>
  <c r="R6" i="7" s="1"/>
  <c r="F3" i="6"/>
  <c r="R3" i="7" s="1"/>
  <c r="E6" i="6"/>
  <c r="E3" i="6"/>
  <c r="D6" i="6"/>
  <c r="P6" i="7" s="1"/>
  <c r="D3" i="6"/>
  <c r="P3" i="7" s="1"/>
  <c r="C6" i="6"/>
  <c r="C3" i="6"/>
  <c r="F24" i="6"/>
  <c r="R14" i="7" s="1"/>
  <c r="C24" i="6"/>
  <c r="O14" i="7" s="1"/>
  <c r="D24" i="6"/>
  <c r="P14" i="7" s="1"/>
  <c r="E24" i="6"/>
  <c r="Q25" i="7" s="1"/>
  <c r="F14" i="6"/>
  <c r="R15" i="7" s="1"/>
  <c r="E13" i="6"/>
  <c r="Q13" i="7" s="1"/>
  <c r="E10" i="6"/>
  <c r="Q10" i="7" s="1"/>
  <c r="E23" i="6"/>
  <c r="Q24" i="7" s="1"/>
  <c r="E20" i="6"/>
  <c r="Q21" i="7" s="1"/>
  <c r="E17" i="6"/>
  <c r="Q18" i="7" s="1"/>
  <c r="E14" i="6"/>
  <c r="Q15" i="7" s="1"/>
  <c r="D10" i="6"/>
  <c r="P10" i="7" s="1"/>
  <c r="D23" i="6"/>
  <c r="P24" i="7" s="1"/>
  <c r="D20" i="6"/>
  <c r="P21" i="7" s="1"/>
  <c r="D17" i="6"/>
  <c r="P18" i="7" s="1"/>
  <c r="D14" i="6"/>
  <c r="P15" i="7" s="1"/>
  <c r="C10" i="6"/>
  <c r="O10" i="7" s="1"/>
  <c r="C23" i="6"/>
  <c r="O24" i="7" s="1"/>
  <c r="C20" i="6"/>
  <c r="O21" i="7" s="1"/>
  <c r="C17" i="6"/>
  <c r="O18" i="7" s="1"/>
  <c r="C14" i="6"/>
  <c r="O15" i="7" s="1"/>
  <c r="C8" i="6"/>
  <c r="O8" i="7" s="1"/>
  <c r="F11" i="6"/>
  <c r="R11" i="7" s="1"/>
  <c r="F22" i="6"/>
  <c r="R23" i="7" s="1"/>
  <c r="F19" i="6"/>
  <c r="R20" i="7" s="1"/>
  <c r="F16" i="6"/>
  <c r="R17" i="7" s="1"/>
  <c r="D8" i="6"/>
  <c r="P8" i="7" s="1"/>
  <c r="E11" i="6"/>
  <c r="Q11" i="7" s="1"/>
  <c r="E22" i="6"/>
  <c r="Q23" i="7" s="1"/>
  <c r="E19" i="6"/>
  <c r="Q20" i="7" s="1"/>
  <c r="E16" i="6"/>
  <c r="Q17" i="7" s="1"/>
  <c r="E8" i="6"/>
  <c r="Q8" i="7" s="1"/>
  <c r="D11" i="6"/>
  <c r="P11" i="7" s="1"/>
  <c r="D22" i="6"/>
  <c r="P23" i="7" s="1"/>
  <c r="D19" i="6"/>
  <c r="P20" i="7" s="1"/>
  <c r="D16" i="6"/>
  <c r="P17" i="7" s="1"/>
  <c r="F8" i="6"/>
  <c r="R8" i="7" s="1"/>
  <c r="C11" i="6"/>
  <c r="O11" i="7" s="1"/>
  <c r="C22" i="6"/>
  <c r="O23" i="7" s="1"/>
  <c r="C19" i="6"/>
  <c r="O20" i="7" s="1"/>
  <c r="C16" i="6"/>
  <c r="O17" i="7" s="1"/>
  <c r="F9" i="6"/>
  <c r="R9" i="7" s="1"/>
  <c r="F12" i="6"/>
  <c r="R12" i="7" s="1"/>
  <c r="F21" i="6"/>
  <c r="R22" i="7" s="1"/>
  <c r="F18" i="6"/>
  <c r="R19" i="7" s="1"/>
  <c r="F15" i="6"/>
  <c r="R16" i="7" s="1"/>
  <c r="F13" i="6"/>
  <c r="R13" i="7" s="1"/>
  <c r="E9" i="6"/>
  <c r="Q9" i="7" s="1"/>
  <c r="E12" i="6"/>
  <c r="Q12" i="7" s="1"/>
  <c r="E21" i="6"/>
  <c r="Q22" i="7" s="1"/>
  <c r="E18" i="6"/>
  <c r="Q19" i="7" s="1"/>
  <c r="E15" i="6"/>
  <c r="Q16" i="7" s="1"/>
  <c r="D9" i="6"/>
  <c r="P9" i="7" s="1"/>
  <c r="D12" i="6"/>
  <c r="P12" i="7" s="1"/>
  <c r="D21" i="6"/>
  <c r="P22" i="7" s="1"/>
  <c r="D18" i="6"/>
  <c r="P19" i="7" s="1"/>
  <c r="D15" i="6"/>
  <c r="P16" i="7" s="1"/>
  <c r="D13" i="6"/>
  <c r="P13" i="7" s="1"/>
  <c r="C9" i="6"/>
  <c r="O9" i="7" s="1"/>
  <c r="C12" i="6"/>
  <c r="O12" i="7" s="1"/>
  <c r="C21" i="6"/>
  <c r="O22" i="7" s="1"/>
  <c r="C18" i="6"/>
  <c r="O19" i="7" s="1"/>
  <c r="C15" i="6"/>
  <c r="O16" i="7" s="1"/>
  <c r="C13" i="6"/>
  <c r="O13" i="7" s="1"/>
  <c r="F10" i="6"/>
  <c r="R10" i="7" s="1"/>
  <c r="F23" i="6"/>
  <c r="R24" i="7" s="1"/>
  <c r="F20" i="6"/>
  <c r="R21" i="7" s="1"/>
  <c r="F17" i="6"/>
  <c r="R18" i="7" s="1"/>
  <c r="G5" i="7" l="1"/>
  <c r="H5" i="7" s="1"/>
  <c r="J5" i="7" s="1"/>
  <c r="E8" i="8" s="1"/>
  <c r="H4" i="6"/>
  <c r="L4" i="7" s="1"/>
  <c r="G7" i="8" s="1"/>
  <c r="Q4" i="7"/>
  <c r="G4" i="7" s="1"/>
  <c r="H4" i="7" s="1"/>
  <c r="J4" i="7" s="1"/>
  <c r="E7" i="8" s="1"/>
  <c r="G7" i="6"/>
  <c r="K7" i="7" s="1"/>
  <c r="F10" i="8" s="1"/>
  <c r="J7" i="6"/>
  <c r="O7" i="7"/>
  <c r="G6" i="6"/>
  <c r="K6" i="7" s="1"/>
  <c r="F9" i="8" s="1"/>
  <c r="O6" i="7"/>
  <c r="Q7" i="7"/>
  <c r="H7" i="6"/>
  <c r="L7" i="7" s="1"/>
  <c r="G10" i="8" s="1"/>
  <c r="J3" i="6"/>
  <c r="O3" i="7"/>
  <c r="G3" i="6"/>
  <c r="K3" i="7" s="1"/>
  <c r="F6" i="8" s="1"/>
  <c r="G4" i="6"/>
  <c r="K4" i="7" s="1"/>
  <c r="F7" i="8" s="1"/>
  <c r="Q3" i="7"/>
  <c r="H3" i="6"/>
  <c r="L3" i="7" s="1"/>
  <c r="G6" i="8" s="1"/>
  <c r="J4" i="6"/>
  <c r="Q6" i="7"/>
  <c r="H6" i="6"/>
  <c r="L6" i="7" s="1"/>
  <c r="G9" i="8" s="1"/>
  <c r="J24" i="6"/>
  <c r="R25" i="7"/>
  <c r="O25" i="7"/>
  <c r="P25" i="7"/>
  <c r="H24" i="6"/>
  <c r="L25" i="7" s="1"/>
  <c r="Q14" i="7"/>
  <c r="G14" i="7" s="1"/>
  <c r="H14" i="7" s="1"/>
  <c r="J14" i="7" s="1"/>
  <c r="E17" i="8" s="1"/>
  <c r="G24" i="6"/>
  <c r="K25" i="7" s="1"/>
  <c r="G8" i="7"/>
  <c r="J14" i="6"/>
  <c r="G15" i="7"/>
  <c r="H15" i="7" s="1"/>
  <c r="J15" i="7" s="1"/>
  <c r="E18" i="8" s="1"/>
  <c r="J12" i="6"/>
  <c r="H14" i="6"/>
  <c r="G14" i="6"/>
  <c r="G17" i="6"/>
  <c r="H19" i="6"/>
  <c r="J19" i="6"/>
  <c r="G20" i="7"/>
  <c r="H20" i="7" s="1"/>
  <c r="J20" i="7" s="1"/>
  <c r="E23" i="8" s="1"/>
  <c r="G24" i="7"/>
  <c r="H24" i="7" s="1"/>
  <c r="J24" i="7" s="1"/>
  <c r="E27" i="8" s="1"/>
  <c r="J17" i="6"/>
  <c r="G18" i="6"/>
  <c r="H21" i="6"/>
  <c r="J22" i="6"/>
  <c r="G19" i="6"/>
  <c r="G12" i="6"/>
  <c r="G12" i="7"/>
  <c r="H12" i="7" s="1"/>
  <c r="J12" i="7" s="1"/>
  <c r="E15" i="8" s="1"/>
  <c r="J21" i="6"/>
  <c r="G23" i="6"/>
  <c r="G20" i="6"/>
  <c r="H12" i="6"/>
  <c r="J23" i="6"/>
  <c r="J16" i="6"/>
  <c r="G16" i="6"/>
  <c r="G15" i="6"/>
  <c r="G17" i="7"/>
  <c r="H17" i="7" s="1"/>
  <c r="J17" i="7" s="1"/>
  <c r="E20" i="8" s="1"/>
  <c r="H20" i="6"/>
  <c r="J20" i="6"/>
  <c r="G21" i="6"/>
  <c r="G23" i="7"/>
  <c r="H23" i="7" s="1"/>
  <c r="J23" i="7" s="1"/>
  <c r="E26" i="8" s="1"/>
  <c r="G22" i="6"/>
  <c r="J18" i="6"/>
  <c r="H23" i="6"/>
  <c r="H16" i="6"/>
  <c r="H15" i="6"/>
  <c r="G13" i="7"/>
  <c r="H13" i="7" s="1"/>
  <c r="J13" i="7" s="1"/>
  <c r="E16" i="8" s="1"/>
  <c r="G13" i="6"/>
  <c r="J13" i="6"/>
  <c r="H22" i="6"/>
  <c r="J15" i="6"/>
  <c r="H18" i="6"/>
  <c r="G21" i="7"/>
  <c r="H21" i="7" s="1"/>
  <c r="J21" i="7" s="1"/>
  <c r="E24" i="8" s="1"/>
  <c r="H17" i="6"/>
  <c r="H13" i="6"/>
  <c r="G22" i="7"/>
  <c r="H22" i="7" s="1"/>
  <c r="J22" i="7" s="1"/>
  <c r="E25" i="8" s="1"/>
  <c r="G18" i="7"/>
  <c r="H18" i="7" s="1"/>
  <c r="J18" i="7" s="1"/>
  <c r="E21" i="8" s="1"/>
  <c r="H11" i="6"/>
  <c r="H9" i="6"/>
  <c r="G6" i="7" l="1"/>
  <c r="H6" i="7" s="1"/>
  <c r="J6" i="7" s="1"/>
  <c r="E9" i="8" s="1"/>
  <c r="G3" i="7"/>
  <c r="H3" i="7" s="1"/>
  <c r="J3" i="7" s="1"/>
  <c r="E6" i="8" s="1"/>
  <c r="G7" i="7"/>
  <c r="H7" i="7" s="1"/>
  <c r="J7" i="7" s="1"/>
  <c r="E10" i="8" s="1"/>
  <c r="G25" i="7"/>
  <c r="H25" i="7" s="1"/>
  <c r="J25" i="7" s="1"/>
  <c r="L14" i="7"/>
  <c r="G17" i="8" s="1"/>
  <c r="K14" i="7"/>
  <c r="F17" i="8" s="1"/>
  <c r="L16" i="7"/>
  <c r="G19" i="8" s="1"/>
  <c r="K16" i="7"/>
  <c r="F19" i="8" s="1"/>
  <c r="L22" i="7"/>
  <c r="G25" i="8" s="1"/>
  <c r="L15" i="7"/>
  <c r="G18" i="8" s="1"/>
  <c r="K13" i="7"/>
  <c r="F16" i="8" s="1"/>
  <c r="L21" i="7"/>
  <c r="G24" i="8" s="1"/>
  <c r="K20" i="7"/>
  <c r="F23" i="8" s="1"/>
  <c r="L11" i="7"/>
  <c r="G14" i="8" s="1"/>
  <c r="K17" i="7"/>
  <c r="F20" i="8" s="1"/>
  <c r="L24" i="7"/>
  <c r="G27" i="8" s="1"/>
  <c r="K12" i="7"/>
  <c r="F15" i="8" s="1"/>
  <c r="L9" i="7"/>
  <c r="G12" i="8" s="1"/>
  <c r="K23" i="7"/>
  <c r="F26" i="8" s="1"/>
  <c r="L12" i="7"/>
  <c r="G15" i="8" s="1"/>
  <c r="K21" i="7"/>
  <c r="F24" i="8" s="1"/>
  <c r="L19" i="7"/>
  <c r="G22" i="8" s="1"/>
  <c r="K24" i="7"/>
  <c r="F27" i="8" s="1"/>
  <c r="L20" i="7"/>
  <c r="G23" i="8" s="1"/>
  <c r="L17" i="7"/>
  <c r="G20" i="8" s="1"/>
  <c r="K19" i="7"/>
  <c r="F22" i="8" s="1"/>
  <c r="L13" i="7"/>
  <c r="G16" i="8" s="1"/>
  <c r="K18" i="7"/>
  <c r="F21" i="8" s="1"/>
  <c r="L18" i="7"/>
  <c r="G21" i="8" s="1"/>
  <c r="L23" i="7"/>
  <c r="G26" i="8" s="1"/>
  <c r="K22" i="7"/>
  <c r="F25" i="8" s="1"/>
  <c r="K15" i="7"/>
  <c r="F18" i="8" s="1"/>
  <c r="G19" i="7"/>
  <c r="H19" i="7" s="1"/>
  <c r="J19" i="7" s="1"/>
  <c r="E22" i="8" s="1"/>
  <c r="G16" i="7"/>
  <c r="H16" i="7" s="1"/>
  <c r="J16" i="7" s="1"/>
  <c r="E19" i="8" s="1"/>
  <c r="G11" i="7"/>
  <c r="H11" i="7" s="1"/>
  <c r="J11" i="7" s="1"/>
  <c r="E14" i="8" s="1"/>
  <c r="J11" i="6"/>
  <c r="G11" i="6"/>
  <c r="G10" i="7"/>
  <c r="H10" i="7" s="1"/>
  <c r="J10" i="7" s="1"/>
  <c r="E13" i="8" s="1"/>
  <c r="J10" i="6"/>
  <c r="H10" i="6"/>
  <c r="G10" i="6"/>
  <c r="G9" i="7"/>
  <c r="H9" i="7" s="1"/>
  <c r="J9" i="7" s="1"/>
  <c r="E12" i="8" s="1"/>
  <c r="J9" i="6"/>
  <c r="G9" i="6"/>
  <c r="B7" i="1" a="1"/>
  <c r="B7" i="1" s="1"/>
  <c r="E31" i="8" l="1"/>
  <c r="H31" i="8" s="1"/>
  <c r="F31" i="8"/>
  <c r="G31" i="8"/>
  <c r="K11" i="7"/>
  <c r="F14" i="8" s="1"/>
  <c r="K9" i="7"/>
  <c r="F12" i="8" s="1"/>
  <c r="L10" i="7"/>
  <c r="G13" i="8" s="1"/>
  <c r="K10" i="7"/>
  <c r="F13" i="8" s="1"/>
  <c r="J7" i="1" a="1"/>
  <c r="J7" i="1" s="1"/>
  <c r="C25" i="6" l="1"/>
  <c r="G8" i="6"/>
  <c r="J8" i="6"/>
  <c r="J25" i="6" s="1"/>
  <c r="H8" i="6"/>
  <c r="E25" i="6"/>
  <c r="L8" i="7" l="1"/>
  <c r="G11" i="8" s="1"/>
  <c r="G25" i="6"/>
  <c r="K8" i="7"/>
  <c r="F11" i="8" s="1"/>
  <c r="H8" i="7"/>
  <c r="J8" i="7" s="1"/>
  <c r="E11" i="8" s="1"/>
  <c r="H25" i="6"/>
  <c r="F30" i="8" l="1"/>
  <c r="G30" i="8"/>
  <c r="E30" i="8"/>
  <c r="E32" i="8" l="1"/>
  <c r="H32" i="8" s="1"/>
  <c r="H3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4" authorId="0" shapeId="0" xr:uid="{E1E68A6D-A569-4C94-A2B3-B084E487EC10}">
      <text>
        <r>
          <rPr>
            <b/>
            <sz val="12"/>
            <color indexed="81"/>
            <rFont val="돋움"/>
            <family val="3"/>
            <charset val="129"/>
          </rPr>
          <t>총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시간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외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 xml:space="preserve">근무수당
</t>
        </r>
        <r>
          <rPr>
            <b/>
            <sz val="12"/>
            <color indexed="81"/>
            <rFont val="Tahoma"/>
            <family val="2"/>
          </rPr>
          <t xml:space="preserve">: </t>
        </r>
        <r>
          <rPr>
            <b/>
            <sz val="12"/>
            <color indexed="81"/>
            <rFont val="돋움"/>
            <family val="3"/>
            <charset val="129"/>
          </rPr>
          <t>숙직으로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인한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초과</t>
        </r>
        <r>
          <rPr>
            <b/>
            <sz val="12"/>
            <color indexed="81"/>
            <rFont val="Tahoma"/>
            <family val="2"/>
          </rPr>
          <t xml:space="preserve"> + </t>
        </r>
        <r>
          <rPr>
            <b/>
            <sz val="12"/>
            <color indexed="81"/>
            <rFont val="돋움"/>
            <family val="3"/>
            <charset val="129"/>
          </rPr>
          <t>점심수당</t>
        </r>
        <r>
          <rPr>
            <b/>
            <sz val="12"/>
            <color indexed="81"/>
            <rFont val="Tahoma"/>
            <family val="2"/>
          </rPr>
          <t xml:space="preserve"> + e</t>
        </r>
        <r>
          <rPr>
            <b/>
            <sz val="12"/>
            <color indexed="81"/>
            <rFont val="돋움"/>
            <family val="3"/>
            <charset val="129"/>
          </rPr>
          <t>사람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잔업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시간</t>
        </r>
        <r>
          <rPr>
            <b/>
            <sz val="12"/>
            <color indexed="81"/>
            <rFont val="Tahoma"/>
            <family val="2"/>
          </rPr>
          <t xml:space="preserve">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<sst xmlns="http://schemas.openxmlformats.org/spreadsheetml/2006/main" count="2196" uniqueCount="166">
  <si>
    <t>월</t>
    <phoneticPr fontId="1" type="noConversion"/>
  </si>
  <si>
    <t>일</t>
    <phoneticPr fontId="1" type="noConversion"/>
  </si>
  <si>
    <t>화</t>
  </si>
  <si>
    <t>수</t>
  </si>
  <si>
    <t>목</t>
  </si>
  <si>
    <t>금</t>
  </si>
  <si>
    <t>토</t>
  </si>
  <si>
    <t>날짜</t>
    <phoneticPr fontId="1" type="noConversion"/>
  </si>
  <si>
    <t>근무자1</t>
    <phoneticPr fontId="1" type="noConversion"/>
  </si>
  <si>
    <t>근무자2</t>
    <phoneticPr fontId="1" type="noConversion"/>
  </si>
  <si>
    <t>유진수</t>
    <phoneticPr fontId="1" type="noConversion"/>
  </si>
  <si>
    <t>장민우</t>
    <phoneticPr fontId="1" type="noConversion"/>
  </si>
  <si>
    <t>한문영</t>
    <phoneticPr fontId="1" type="noConversion"/>
  </si>
  <si>
    <t>안지영</t>
    <phoneticPr fontId="1" type="noConversion"/>
  </si>
  <si>
    <t>고석규</t>
    <phoneticPr fontId="1" type="noConversion"/>
  </si>
  <si>
    <t>구민아</t>
    <phoneticPr fontId="1" type="noConversion"/>
  </si>
  <si>
    <t>이현숙</t>
    <phoneticPr fontId="1" type="noConversion"/>
  </si>
  <si>
    <t>신혜원</t>
    <phoneticPr fontId="1" type="noConversion"/>
  </si>
  <si>
    <t>이승현</t>
    <phoneticPr fontId="1" type="noConversion"/>
  </si>
  <si>
    <t>우정수</t>
    <phoneticPr fontId="1" type="noConversion"/>
  </si>
  <si>
    <t>이원철</t>
    <phoneticPr fontId="1" type="noConversion"/>
  </si>
  <si>
    <t>정찬웅</t>
    <phoneticPr fontId="1" type="noConversion"/>
  </si>
  <si>
    <t>서진호</t>
    <phoneticPr fontId="1" type="noConversion"/>
  </si>
  <si>
    <t>내용</t>
    <phoneticPr fontId="1" type="noConversion"/>
  </si>
  <si>
    <t>신정</t>
    <phoneticPr fontId="1" type="noConversion"/>
  </si>
  <si>
    <t>설날연휴</t>
    <phoneticPr fontId="1" type="noConversion"/>
  </si>
  <si>
    <t>삼일절</t>
    <phoneticPr fontId="1" type="noConversion"/>
  </si>
  <si>
    <t>어린이날</t>
    <phoneticPr fontId="1" type="noConversion"/>
  </si>
  <si>
    <t>부처님오신날</t>
    <phoneticPr fontId="1" type="noConversion"/>
  </si>
  <si>
    <t>대체공휴일</t>
    <phoneticPr fontId="1" type="noConversion"/>
  </si>
  <si>
    <t>제9회 전국동시지방선거</t>
    <phoneticPr fontId="1" type="noConversion"/>
  </si>
  <si>
    <t>현충일</t>
    <phoneticPr fontId="1" type="noConversion"/>
  </si>
  <si>
    <t>광복절</t>
    <phoneticPr fontId="1" type="noConversion"/>
  </si>
  <si>
    <t>추석연휴</t>
    <phoneticPr fontId="1" type="noConversion"/>
  </si>
  <si>
    <t>개천절</t>
    <phoneticPr fontId="1" type="noConversion"/>
  </si>
  <si>
    <t>한글날</t>
    <phoneticPr fontId="1" type="noConversion"/>
  </si>
  <si>
    <t>추석</t>
    <phoneticPr fontId="1" type="noConversion"/>
  </si>
  <si>
    <t xml:space="preserve">년도 : </t>
    <phoneticPr fontId="1" type="noConversion"/>
  </si>
  <si>
    <t xml:space="preserve">월  : </t>
    <phoneticPr fontId="1" type="noConversion"/>
  </si>
  <si>
    <t>성탄절</t>
    <phoneticPr fontId="1" type="noConversion"/>
  </si>
  <si>
    <t>여철호</t>
    <phoneticPr fontId="1" type="noConversion"/>
  </si>
  <si>
    <t>송남철</t>
    <phoneticPr fontId="1" type="noConversion"/>
  </si>
  <si>
    <t>순번1</t>
    <phoneticPr fontId="1" type="noConversion"/>
  </si>
  <si>
    <t>순번2</t>
    <phoneticPr fontId="1" type="noConversion"/>
  </si>
  <si>
    <t>오기희</t>
    <phoneticPr fontId="1" type="noConversion"/>
  </si>
  <si>
    <t>대직1</t>
    <phoneticPr fontId="1" type="noConversion"/>
  </si>
  <si>
    <t>대직2</t>
    <phoneticPr fontId="1" type="noConversion"/>
  </si>
  <si>
    <t>의료과 숙직근무 달력</t>
    <phoneticPr fontId="1" type="noConversion"/>
  </si>
  <si>
    <t>메모</t>
    <phoneticPr fontId="1" type="noConversion"/>
  </si>
  <si>
    <t>박찬식</t>
    <phoneticPr fontId="1" type="noConversion"/>
  </si>
  <si>
    <t>*인사이동</t>
    <phoneticPr fontId="1" type="noConversion"/>
  </si>
  <si>
    <t>총계</t>
    <phoneticPr fontId="13" type="noConversion"/>
  </si>
  <si>
    <t>현업</t>
    <phoneticPr fontId="13" type="noConversion"/>
  </si>
  <si>
    <t>이승현</t>
    <phoneticPr fontId="13" type="noConversion"/>
  </si>
  <si>
    <t>이원철</t>
    <phoneticPr fontId="13" type="noConversion"/>
  </si>
  <si>
    <t>우정수</t>
    <phoneticPr fontId="13" type="noConversion"/>
  </si>
  <si>
    <t>오기희</t>
    <phoneticPr fontId="13" type="noConversion"/>
  </si>
  <si>
    <t>서진호</t>
    <phoneticPr fontId="13" type="noConversion"/>
  </si>
  <si>
    <t>정찬웅</t>
    <phoneticPr fontId="13" type="noConversion"/>
  </si>
  <si>
    <t>최상욱</t>
    <phoneticPr fontId="13" type="noConversion"/>
  </si>
  <si>
    <t>신혜원</t>
    <phoneticPr fontId="13" type="noConversion"/>
  </si>
  <si>
    <t>한문영</t>
    <phoneticPr fontId="13" type="noConversion"/>
  </si>
  <si>
    <t>구민아</t>
    <phoneticPr fontId="13" type="noConversion"/>
  </si>
  <si>
    <t>장민우</t>
    <phoneticPr fontId="13" type="noConversion"/>
  </si>
  <si>
    <t>유진수</t>
    <phoneticPr fontId="13" type="noConversion"/>
  </si>
  <si>
    <t>이현숙</t>
    <phoneticPr fontId="13" type="noConversion"/>
  </si>
  <si>
    <t>안지영</t>
    <phoneticPr fontId="13" type="noConversion"/>
  </si>
  <si>
    <t>고석규</t>
    <phoneticPr fontId="13" type="noConversion"/>
  </si>
  <si>
    <t>윤인성</t>
    <phoneticPr fontId="13" type="noConversion"/>
  </si>
  <si>
    <t>정병기</t>
    <phoneticPr fontId="13" type="noConversion"/>
  </si>
  <si>
    <t>정해인</t>
    <phoneticPr fontId="13" type="noConversion"/>
  </si>
  <si>
    <t>과학기술서기관</t>
    <phoneticPr fontId="13" type="noConversion"/>
  </si>
  <si>
    <t>김주오</t>
    <phoneticPr fontId="13" type="noConversion"/>
  </si>
  <si>
    <t>부이사관</t>
    <phoneticPr fontId="13" type="noConversion"/>
  </si>
  <si>
    <t>강기영</t>
    <phoneticPr fontId="13" type="noConversion"/>
  </si>
  <si>
    <t>출근
일수</t>
    <phoneticPr fontId="13" type="noConversion"/>
  </si>
  <si>
    <t>연가
사용
일수</t>
    <phoneticPr fontId="13" type="noConversion"/>
  </si>
  <si>
    <t>비번
일수</t>
    <phoneticPr fontId="13" type="noConversion"/>
  </si>
  <si>
    <t>당월
근무
일수</t>
    <phoneticPr fontId="13" type="noConversion"/>
  </si>
  <si>
    <t>휴일
근무
횟수</t>
    <phoneticPr fontId="13" type="noConversion"/>
  </si>
  <si>
    <t>야근
횟수</t>
    <phoneticPr fontId="13" type="noConversion"/>
  </si>
  <si>
    <t>일요일
(휴일)</t>
    <phoneticPr fontId="13" type="noConversion"/>
  </si>
  <si>
    <t>토요일
(휴일)</t>
    <phoneticPr fontId="13" type="noConversion"/>
  </si>
  <si>
    <t>금요일</t>
    <phoneticPr fontId="13" type="noConversion"/>
  </si>
  <si>
    <t>평일</t>
    <phoneticPr fontId="13" type="noConversion"/>
  </si>
  <si>
    <t>성 명</t>
  </si>
  <si>
    <t>연번</t>
  </si>
  <si>
    <t>연번</t>
    <phoneticPr fontId="13" type="noConversion"/>
  </si>
  <si>
    <t>부별</t>
    <phoneticPr fontId="13" type="noConversion"/>
  </si>
  <si>
    <t>직급</t>
    <phoneticPr fontId="13" type="noConversion"/>
  </si>
  <si>
    <t>성명</t>
    <phoneticPr fontId="13" type="noConversion"/>
  </si>
  <si>
    <t>출근일수</t>
    <phoneticPr fontId="13" type="noConversion"/>
  </si>
  <si>
    <t>비  고</t>
    <phoneticPr fontId="13" type="noConversion"/>
  </si>
  <si>
    <t>숙직 횟수</t>
    <phoneticPr fontId="13" type="noConversion"/>
  </si>
  <si>
    <t>일대:정액
(점심수당)</t>
    <phoneticPr fontId="13" type="noConversion"/>
  </si>
  <si>
    <t>잔업
(e사람)</t>
    <phoneticPr fontId="13" type="noConversion"/>
  </si>
  <si>
    <t>일근자:지원근무
야근자:복무시간</t>
    <phoneticPr fontId="13" type="noConversion"/>
  </si>
  <si>
    <t>실제 총 근무시간</t>
    <phoneticPr fontId="13" type="noConversion"/>
  </si>
  <si>
    <t>복무규정
근무시간</t>
    <phoneticPr fontId="13" type="noConversion"/>
  </si>
  <si>
    <t>시간 외 근무시간</t>
    <phoneticPr fontId="13" type="noConversion"/>
  </si>
  <si>
    <t>총야근</t>
    <phoneticPr fontId="13" type="noConversion"/>
  </si>
  <si>
    <t>평일
숙직</t>
    <phoneticPr fontId="13" type="noConversion"/>
  </si>
  <si>
    <t>금요일
숙직</t>
    <phoneticPr fontId="13" type="noConversion"/>
  </si>
  <si>
    <t>토요일
숙직</t>
    <phoneticPr fontId="13" type="noConversion"/>
  </si>
  <si>
    <t>일요일
숙직</t>
    <phoneticPr fontId="13" type="noConversion"/>
  </si>
  <si>
    <t>의료</t>
    <phoneticPr fontId="13" type="noConversion"/>
  </si>
  <si>
    <t>의무사무관</t>
    <phoneticPr fontId="13" type="noConversion"/>
  </si>
  <si>
    <t>약무사무관</t>
    <phoneticPr fontId="13" type="noConversion"/>
  </si>
  <si>
    <t>6급</t>
    <phoneticPr fontId="13" type="noConversion"/>
  </si>
  <si>
    <t>간호주사</t>
    <phoneticPr fontId="13" type="noConversion"/>
  </si>
  <si>
    <t>의료기술주사</t>
    <phoneticPr fontId="13" type="noConversion"/>
  </si>
  <si>
    <t>7급</t>
    <phoneticPr fontId="13" type="noConversion"/>
  </si>
  <si>
    <t>간호주사보</t>
    <phoneticPr fontId="13" type="noConversion"/>
  </si>
  <si>
    <t>간호서기</t>
    <phoneticPr fontId="13" type="noConversion"/>
  </si>
  <si>
    <t>8급</t>
    <phoneticPr fontId="13" type="noConversion"/>
  </si>
  <si>
    <t>수신 : 총무과장</t>
    <phoneticPr fontId="13" type="noConversion"/>
  </si>
  <si>
    <t>발신 : 의료과장</t>
    <phoneticPr fontId="13" type="noConversion"/>
  </si>
  <si>
    <t>연 번</t>
    <phoneticPr fontId="13" type="noConversion"/>
  </si>
  <si>
    <t>부  별</t>
    <phoneticPr fontId="13" type="noConversion"/>
  </si>
  <si>
    <t>직  급</t>
    <phoneticPr fontId="13" type="noConversion"/>
  </si>
  <si>
    <t>성  명</t>
    <phoneticPr fontId="13" type="noConversion"/>
  </si>
  <si>
    <t>지급할 시간(일)수</t>
    <phoneticPr fontId="13" type="noConversion"/>
  </si>
  <si>
    <t>출     근
근무일수</t>
    <phoneticPr fontId="13" type="noConversion"/>
  </si>
  <si>
    <t>비고</t>
    <phoneticPr fontId="13" type="noConversion"/>
  </si>
  <si>
    <t>총
시간 외
근무시간</t>
    <phoneticPr fontId="13" type="noConversion"/>
  </si>
  <si>
    <t>야간근무
수당(일)</t>
    <phoneticPr fontId="13" type="noConversion"/>
  </si>
  <si>
    <t>휴일근무
수당(일)</t>
    <phoneticPr fontId="13" type="noConversion"/>
  </si>
  <si>
    <t>구   분</t>
    <phoneticPr fontId="13" type="noConversion"/>
  </si>
  <si>
    <t>총   원
(명)</t>
    <phoneticPr fontId="13" type="noConversion"/>
  </si>
  <si>
    <t>초과시간합계
(시간)</t>
    <phoneticPr fontId="13" type="noConversion"/>
  </si>
  <si>
    <t>최고초과시간
(시간)</t>
    <phoneticPr fontId="13" type="noConversion"/>
  </si>
  <si>
    <t>최저초과시간
(시간)</t>
    <phoneticPr fontId="13" type="noConversion"/>
  </si>
  <si>
    <t xml:space="preserve"> 평균초과시간
(시간)</t>
    <phoneticPr fontId="13" type="noConversion"/>
  </si>
  <si>
    <t>현   업</t>
    <phoneticPr fontId="13" type="noConversion"/>
  </si>
  <si>
    <t>비현업</t>
    <phoneticPr fontId="13" type="noConversion"/>
  </si>
  <si>
    <t>총계(시간)</t>
    <phoneticPr fontId="13" type="noConversion"/>
  </si>
  <si>
    <t xml:space="preserve"> 총 평균 초과 시간(시간)</t>
    <phoneticPr fontId="13" type="noConversion"/>
  </si>
  <si>
    <t>근무구분</t>
    <phoneticPr fontId="1" type="noConversion"/>
  </si>
  <si>
    <t>검색 년월 :</t>
    <phoneticPr fontId="1" type="noConversion"/>
  </si>
  <si>
    <t>실제근무1</t>
    <phoneticPr fontId="1" type="noConversion"/>
  </si>
  <si>
    <t>실제근무2</t>
  </si>
  <si>
    <t>.</t>
    <phoneticPr fontId="1" type="noConversion"/>
  </si>
  <si>
    <t>&lt;-- 검색년월을 yyyy-mm형식으로 입력하면 숙직 일수 나옵니다.</t>
    <phoneticPr fontId="1" type="noConversion"/>
  </si>
  <si>
    <t>여철호</t>
    <phoneticPr fontId="13" type="noConversion"/>
  </si>
  <si>
    <t>송남철</t>
    <phoneticPr fontId="13" type="noConversion"/>
  </si>
  <si>
    <t>A조</t>
    <phoneticPr fontId="1" type="noConversion"/>
  </si>
  <si>
    <t>B조</t>
    <phoneticPr fontId="1" type="noConversion"/>
  </si>
  <si>
    <t>제헌절</t>
    <phoneticPr fontId="1" type="noConversion"/>
  </si>
  <si>
    <t>참고 년월</t>
    <phoneticPr fontId="1" type="noConversion"/>
  </si>
  <si>
    <t>*을지훈련</t>
    <phoneticPr fontId="1" type="noConversion"/>
  </si>
  <si>
    <t>신정</t>
  </si>
  <si>
    <t>설날연휴</t>
  </si>
  <si>
    <t>설날</t>
  </si>
  <si>
    <t>삼일절</t>
  </si>
  <si>
    <t>어린이날</t>
  </si>
  <si>
    <t>부처님오신날</t>
  </si>
  <si>
    <t>현충일</t>
  </si>
  <si>
    <t>대체공휴일</t>
  </si>
  <si>
    <t>광복절</t>
  </si>
  <si>
    <t>추석연휴</t>
  </si>
  <si>
    <t>추석</t>
  </si>
  <si>
    <t>개천절</t>
  </si>
  <si>
    <t>한글날</t>
  </si>
  <si>
    <t>성탄절</t>
  </si>
  <si>
    <t>제22대 국회의원선거</t>
  </si>
  <si>
    <t>2026-09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</si>
</sst>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"/>
    <numFmt numFmtId="177" formatCode="yyyy&quot;년&quot;\ m&quot;월&quot;;@"/>
    <numFmt numFmtId="178" formatCode="yyyy/mm/dd;@"/>
  </numFmts>
  <fonts count="3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b/>
      <sz val="26"/>
      <color theme="0"/>
      <name val="맑은 고딕"/>
      <family val="3"/>
      <charset val="129"/>
      <scheme val="minor"/>
    </font>
    <font>
      <b/>
      <sz val="35"/>
      <color theme="1"/>
      <name val="HY헤드라인M"/>
      <family val="1"/>
      <charset val="129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20"/>
      <name val="돋움"/>
      <family val="3"/>
      <charset val="129"/>
    </font>
    <font>
      <b/>
      <sz val="11"/>
      <name val="돋움체"/>
      <family val="3"/>
      <charset val="129"/>
    </font>
    <font>
      <sz val="11"/>
      <name val="돋움체"/>
      <family val="3"/>
      <charset val="129"/>
    </font>
    <font>
      <sz val="11"/>
      <color indexed="8"/>
      <name val="돋움체"/>
      <family val="3"/>
      <charset val="129"/>
    </font>
    <font>
      <sz val="11"/>
      <color theme="1"/>
      <name val="돋움체"/>
      <family val="3"/>
      <charset val="129"/>
    </font>
    <font>
      <b/>
      <sz val="11"/>
      <color rgb="FFFF0000"/>
      <name val="돋움체"/>
      <family val="3"/>
      <charset val="129"/>
    </font>
    <font>
      <b/>
      <sz val="16"/>
      <name val="돋움"/>
      <family val="3"/>
      <charset val="129"/>
    </font>
    <font>
      <sz val="12"/>
      <name val="돋움"/>
      <family val="3"/>
      <charset val="129"/>
    </font>
    <font>
      <b/>
      <sz val="14"/>
      <name val="돋움"/>
      <family val="3"/>
      <charset val="129"/>
    </font>
    <font>
      <b/>
      <sz val="11"/>
      <name val="돋움"/>
      <family val="3"/>
      <charset val="129"/>
    </font>
    <font>
      <b/>
      <sz val="9"/>
      <color rgb="FFFF0000"/>
      <name val="돋움체"/>
      <family val="3"/>
      <charset val="129"/>
    </font>
    <font>
      <b/>
      <sz val="8"/>
      <color rgb="FFFF0000"/>
      <name val="돋움체"/>
      <family val="3"/>
      <charset val="129"/>
    </font>
    <font>
      <b/>
      <sz val="12"/>
      <color indexed="81"/>
      <name val="돋움"/>
      <family val="3"/>
      <charset val="129"/>
    </font>
    <font>
      <b/>
      <sz val="12"/>
      <color indexed="81"/>
      <name val="Tahoma"/>
      <family val="2"/>
    </font>
    <font>
      <b/>
      <sz val="14"/>
      <color theme="0" tint="-0.34998626667073579"/>
      <name val="돋움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thin">
        <color theme="2" tint="-0.249977111117893"/>
      </right>
      <top style="thin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 style="thin">
        <color theme="2" tint="-0.249977111117893"/>
      </left>
      <right style="thin">
        <color indexed="64"/>
      </right>
      <top style="thin">
        <color theme="2" tint="-0.249977111117893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187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3" fillId="0" borderId="6" xfId="0" applyNumberFormat="1" applyFont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4" fillId="0" borderId="7" xfId="0" applyNumberFormat="1" applyFont="1" applyBorder="1" applyAlignment="1">
      <alignment horizontal="left" vertical="center" wrapText="1"/>
    </xf>
    <xf numFmtId="0" fontId="3" fillId="0" borderId="8" xfId="0" applyNumberFormat="1" applyFont="1" applyBorder="1" applyAlignment="1">
      <alignment horizontal="left" vertical="center" wrapText="1"/>
    </xf>
    <xf numFmtId="0" fontId="2" fillId="0" borderId="9" xfId="0" applyNumberFormat="1" applyFont="1" applyBorder="1" applyAlignment="1">
      <alignment horizontal="left" vertical="center" wrapText="1"/>
    </xf>
    <xf numFmtId="0" fontId="4" fillId="0" borderId="10" xfId="0" applyNumberFormat="1" applyFont="1" applyBorder="1" applyAlignment="1">
      <alignment horizontal="left" vertical="center" wrapText="1"/>
    </xf>
    <xf numFmtId="177" fontId="0" fillId="0" borderId="0" xfId="0" applyNumberForma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NumberFormat="1" applyFont="1" applyBorder="1" applyAlignment="1">
      <alignment horizontal="center" vertical="center"/>
    </xf>
    <xf numFmtId="14" fontId="8" fillId="0" borderId="0" xfId="0" applyNumberFormat="1" applyFont="1">
      <alignment vertical="center"/>
    </xf>
    <xf numFmtId="0" fontId="8" fillId="0" borderId="24" xfId="0" applyFont="1" applyBorder="1">
      <alignment vertical="center"/>
    </xf>
    <xf numFmtId="0" fontId="9" fillId="0" borderId="11" xfId="0" applyFont="1" applyBorder="1" applyAlignment="1">
      <alignment horizontal="center" vertical="center"/>
    </xf>
    <xf numFmtId="14" fontId="8" fillId="0" borderId="23" xfId="0" applyNumberFormat="1" applyFont="1" applyBorder="1" applyAlignment="1">
      <alignment horizontal="center" vertical="center"/>
    </xf>
    <xf numFmtId="14" fontId="8" fillId="0" borderId="24" xfId="0" applyNumberFormat="1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178" fontId="0" fillId="0" borderId="0" xfId="0" applyNumberFormat="1">
      <alignment vertical="center"/>
    </xf>
    <xf numFmtId="0" fontId="10" fillId="0" borderId="0" xfId="1">
      <alignment vertical="center"/>
    </xf>
    <xf numFmtId="0" fontId="10" fillId="0" borderId="0" xfId="1" applyAlignment="1">
      <alignment horizontal="center" vertical="center"/>
    </xf>
    <xf numFmtId="0" fontId="11" fillId="0" borderId="26" xfId="1" applyFont="1" applyBorder="1">
      <alignment vertical="center"/>
    </xf>
    <xf numFmtId="0" fontId="11" fillId="0" borderId="1" xfId="1" applyFont="1" applyBorder="1" applyAlignment="1">
      <alignment horizontal="center" vertical="center"/>
    </xf>
    <xf numFmtId="0" fontId="12" fillId="12" borderId="1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4" fillId="12" borderId="1" xfId="1" applyFont="1" applyFill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2" fillId="5" borderId="1" xfId="1" applyFont="1" applyFill="1" applyBorder="1" applyAlignment="1">
      <alignment horizontal="center" vertical="center"/>
    </xf>
    <xf numFmtId="0" fontId="12" fillId="13" borderId="1" xfId="1" applyFont="1" applyFill="1" applyBorder="1" applyAlignment="1">
      <alignment horizontal="center" vertical="center"/>
    </xf>
    <xf numFmtId="0" fontId="15" fillId="0" borderId="1" xfId="1" applyFont="1" applyBorder="1" applyAlignment="1">
      <alignment horizontal="center" vertical="center" wrapText="1"/>
    </xf>
    <xf numFmtId="0" fontId="15" fillId="14" borderId="1" xfId="1" applyFont="1" applyFill="1" applyBorder="1" applyAlignment="1">
      <alignment horizontal="center" vertical="center" wrapText="1"/>
    </xf>
    <xf numFmtId="0" fontId="15" fillId="15" borderId="1" xfId="1" applyFont="1" applyFill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0" fontId="18" fillId="0" borderId="0" xfId="1" applyFont="1" applyAlignment="1">
      <alignment horizontal="center" vertical="center"/>
    </xf>
    <xf numFmtId="0" fontId="17" fillId="0" borderId="16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/>
    </xf>
    <xf numFmtId="0" fontId="10" fillId="16" borderId="1" xfId="1" applyFill="1" applyBorder="1" applyAlignment="1">
      <alignment horizontal="center" vertical="center"/>
    </xf>
    <xf numFmtId="0" fontId="10" fillId="6" borderId="1" xfId="1" applyFill="1" applyBorder="1" applyAlignment="1">
      <alignment horizontal="center" vertical="center"/>
    </xf>
    <xf numFmtId="0" fontId="19" fillId="0" borderId="1" xfId="1" applyFont="1" applyBorder="1" applyAlignment="1">
      <alignment horizontal="center" vertical="center" wrapText="1"/>
    </xf>
    <xf numFmtId="0" fontId="19" fillId="8" borderId="1" xfId="1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 wrapText="1" shrinkToFit="1"/>
    </xf>
    <xf numFmtId="0" fontId="19" fillId="0" borderId="16" xfId="1" applyFont="1" applyBorder="1" applyAlignment="1">
      <alignment horizontal="center" vertical="center" wrapText="1"/>
    </xf>
    <xf numFmtId="0" fontId="20" fillId="0" borderId="1" xfId="1" applyFont="1" applyBorder="1" applyAlignment="1">
      <alignment horizontal="center" vertical="center" wrapText="1" shrinkToFit="1"/>
    </xf>
    <xf numFmtId="0" fontId="21" fillId="0" borderId="1" xfId="1" applyFont="1" applyBorder="1" applyAlignment="1">
      <alignment horizontal="center" vertical="center" wrapText="1" shrinkToFit="1"/>
    </xf>
    <xf numFmtId="0" fontId="18" fillId="0" borderId="0" xfId="1" applyFont="1" applyAlignment="1">
      <alignment horizontal="center" vertical="center" wrapText="1" shrinkToFit="1"/>
    </xf>
    <xf numFmtId="0" fontId="21" fillId="0" borderId="1" xfId="1" applyFont="1" applyBorder="1" applyAlignment="1">
      <alignment horizontal="center" vertical="center" shrinkToFit="1"/>
    </xf>
    <xf numFmtId="0" fontId="23" fillId="0" borderId="0" xfId="1" applyFont="1">
      <alignment vertical="center"/>
    </xf>
    <xf numFmtId="0" fontId="24" fillId="0" borderId="0" xfId="1" applyFont="1">
      <alignment vertical="center"/>
    </xf>
    <xf numFmtId="0" fontId="24" fillId="0" borderId="32" xfId="1" applyFont="1" applyBorder="1" applyAlignment="1">
      <alignment horizontal="right" vertical="center"/>
    </xf>
    <xf numFmtId="0" fontId="10" fillId="10" borderId="35" xfId="1" applyFill="1" applyBorder="1" applyAlignment="1">
      <alignment horizontal="center" vertical="center"/>
    </xf>
    <xf numFmtId="0" fontId="10" fillId="10" borderId="36" xfId="1" applyFill="1" applyBorder="1" applyAlignment="1">
      <alignment horizontal="center" vertical="center"/>
    </xf>
    <xf numFmtId="0" fontId="18" fillId="0" borderId="42" xfId="1" applyFont="1" applyBorder="1" applyAlignment="1">
      <alignment horizontal="center" vertical="center" wrapText="1" shrinkToFit="1"/>
    </xf>
    <xf numFmtId="0" fontId="20" fillId="0" borderId="42" xfId="1" applyFont="1" applyBorder="1" applyAlignment="1">
      <alignment horizontal="center" vertical="center" wrapText="1" shrinkToFit="1"/>
    </xf>
    <xf numFmtId="0" fontId="26" fillId="0" borderId="42" xfId="1" applyFont="1" applyBorder="1" applyAlignment="1">
      <alignment horizontal="center" vertical="center" wrapText="1" shrinkToFit="1"/>
    </xf>
    <xf numFmtId="0" fontId="21" fillId="0" borderId="42" xfId="1" applyFont="1" applyBorder="1" applyAlignment="1">
      <alignment horizontal="center" vertical="center" wrapText="1" shrinkToFit="1"/>
    </xf>
    <xf numFmtId="0" fontId="27" fillId="0" borderId="42" xfId="1" applyFont="1" applyBorder="1" applyAlignment="1">
      <alignment horizontal="center" vertical="center" wrapText="1" shrinkToFit="1"/>
    </xf>
    <xf numFmtId="0" fontId="10" fillId="10" borderId="38" xfId="1" applyFill="1" applyBorder="1" applyAlignment="1">
      <alignment horizontal="center" vertical="center"/>
    </xf>
    <xf numFmtId="0" fontId="10" fillId="10" borderId="39" xfId="1" applyFill="1" applyBorder="1" applyAlignment="1">
      <alignment horizontal="center" vertical="center"/>
    </xf>
    <xf numFmtId="0" fontId="21" fillId="0" borderId="43" xfId="1" applyFont="1" applyBorder="1" applyAlignment="1">
      <alignment horizontal="center" vertical="center" wrapText="1" shrinkToFit="1"/>
    </xf>
    <xf numFmtId="0" fontId="10" fillId="10" borderId="0" xfId="1" applyFill="1" applyAlignment="1">
      <alignment horizontal="center" vertical="center"/>
    </xf>
    <xf numFmtId="0" fontId="10" fillId="0" borderId="44" xfId="1" applyBorder="1" applyAlignment="1">
      <alignment horizontal="center" vertical="center" wrapText="1"/>
    </xf>
    <xf numFmtId="0" fontId="10" fillId="0" borderId="45" xfId="1" applyBorder="1" applyAlignment="1">
      <alignment horizontal="center" vertical="center" wrapText="1"/>
    </xf>
    <xf numFmtId="0" fontId="23" fillId="0" borderId="46" xfId="1" applyFont="1" applyBorder="1" applyAlignment="1">
      <alignment horizontal="center" vertical="center" wrapText="1"/>
    </xf>
    <xf numFmtId="0" fontId="23" fillId="0" borderId="0" xfId="1" applyFont="1" applyAlignment="1">
      <alignment vertical="center" wrapText="1"/>
    </xf>
    <xf numFmtId="0" fontId="10" fillId="0" borderId="19" xfId="1" applyBorder="1" applyAlignment="1">
      <alignment horizontal="center" vertical="center"/>
    </xf>
    <xf numFmtId="0" fontId="23" fillId="0" borderId="1" xfId="1" applyFont="1" applyBorder="1" applyAlignment="1">
      <alignment horizontal="center" vertical="center"/>
    </xf>
    <xf numFmtId="0" fontId="23" fillId="0" borderId="20" xfId="1" applyFont="1" applyBorder="1" applyAlignment="1">
      <alignment horizontal="center" vertical="center"/>
    </xf>
    <xf numFmtId="0" fontId="10" fillId="0" borderId="21" xfId="1" applyBorder="1" applyAlignment="1">
      <alignment horizontal="center" vertical="center"/>
    </xf>
    <xf numFmtId="0" fontId="23" fillId="0" borderId="47" xfId="1" applyFont="1" applyBorder="1" applyAlignment="1">
      <alignment horizontal="center" vertical="center"/>
    </xf>
    <xf numFmtId="0" fontId="23" fillId="0" borderId="22" xfId="1" applyFont="1" applyBorder="1" applyAlignment="1">
      <alignment horizontal="center" vertical="center"/>
    </xf>
    <xf numFmtId="0" fontId="9" fillId="0" borderId="14" xfId="0" applyNumberFormat="1" applyFont="1" applyFill="1" applyBorder="1" applyAlignment="1">
      <alignment horizontal="center" vertical="center"/>
    </xf>
    <xf numFmtId="0" fontId="8" fillId="0" borderId="48" xfId="0" applyFont="1" applyBorder="1" applyAlignment="1">
      <alignment horizontal="left" vertical="center"/>
    </xf>
    <xf numFmtId="0" fontId="8" fillId="0" borderId="49" xfId="0" applyFont="1" applyBorder="1" applyAlignment="1">
      <alignment horizontal="left" vertical="center"/>
    </xf>
    <xf numFmtId="0" fontId="8" fillId="0" borderId="50" xfId="0" applyFont="1" applyBorder="1" applyAlignment="1">
      <alignment horizontal="left" vertical="center"/>
    </xf>
    <xf numFmtId="0" fontId="8" fillId="0" borderId="23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0" xfId="0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NumberFormat="1" applyFont="1" applyBorder="1">
      <alignment vertical="center"/>
    </xf>
    <xf numFmtId="0" fontId="8" fillId="0" borderId="31" xfId="0" applyFont="1" applyBorder="1" applyAlignment="1">
      <alignment horizontal="center" vertical="center"/>
    </xf>
    <xf numFmtId="0" fontId="8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32" xfId="0" applyFont="1" applyBorder="1" applyAlignment="1">
      <alignment horizontal="center" vertical="center"/>
    </xf>
    <xf numFmtId="0" fontId="8" fillId="17" borderId="17" xfId="0" applyFont="1" applyFill="1" applyBorder="1" applyAlignment="1">
      <alignment horizontal="center" vertical="center"/>
    </xf>
    <xf numFmtId="0" fontId="8" fillId="17" borderId="18" xfId="0" applyNumberFormat="1" applyFont="1" applyFill="1" applyBorder="1" applyAlignment="1">
      <alignment horizontal="center" vertical="center"/>
    </xf>
    <xf numFmtId="0" fontId="8" fillId="17" borderId="21" xfId="0" applyFont="1" applyFill="1" applyBorder="1" applyAlignment="1">
      <alignment horizontal="center" vertical="center"/>
    </xf>
    <xf numFmtId="0" fontId="8" fillId="17" borderId="22" xfId="0" applyNumberFormat="1" applyFont="1" applyFill="1" applyBorder="1" applyAlignment="1">
      <alignment horizontal="center" vertical="center"/>
    </xf>
    <xf numFmtId="0" fontId="8" fillId="17" borderId="19" xfId="0" applyFont="1" applyFill="1" applyBorder="1" applyAlignment="1">
      <alignment horizontal="center" vertical="center"/>
    </xf>
    <xf numFmtId="0" fontId="8" fillId="17" borderId="20" xfId="0" applyNumberFormat="1" applyFont="1" applyFill="1" applyBorder="1" applyAlignment="1">
      <alignment horizontal="center" vertical="center"/>
    </xf>
    <xf numFmtId="0" fontId="8" fillId="18" borderId="17" xfId="0" applyFont="1" applyFill="1" applyBorder="1" applyAlignment="1">
      <alignment horizontal="center" vertical="center"/>
    </xf>
    <xf numFmtId="0" fontId="8" fillId="18" borderId="18" xfId="0" applyNumberFormat="1" applyFont="1" applyFill="1" applyBorder="1" applyAlignment="1">
      <alignment horizontal="center" vertical="center"/>
    </xf>
    <xf numFmtId="0" fontId="8" fillId="18" borderId="19" xfId="0" applyFont="1" applyFill="1" applyBorder="1" applyAlignment="1">
      <alignment horizontal="center" vertical="center"/>
    </xf>
    <xf numFmtId="0" fontId="8" fillId="18" borderId="20" xfId="0" applyNumberFormat="1" applyFont="1" applyFill="1" applyBorder="1" applyAlignment="1">
      <alignment horizontal="center" vertical="center"/>
    </xf>
    <xf numFmtId="0" fontId="8" fillId="18" borderId="21" xfId="0" applyFont="1" applyFill="1" applyBorder="1" applyAlignment="1">
      <alignment horizontal="center" vertical="center"/>
    </xf>
    <xf numFmtId="0" fontId="8" fillId="18" borderId="22" xfId="0" applyNumberFormat="1" applyFont="1" applyFill="1" applyBorder="1" applyAlignment="1">
      <alignment horizontal="center" vertical="center"/>
    </xf>
    <xf numFmtId="0" fontId="8" fillId="19" borderId="17" xfId="0" applyFont="1" applyFill="1" applyBorder="1" applyAlignment="1">
      <alignment horizontal="center" vertical="center"/>
    </xf>
    <xf numFmtId="0" fontId="8" fillId="19" borderId="18" xfId="0" applyNumberFormat="1" applyFont="1" applyFill="1" applyBorder="1" applyAlignment="1">
      <alignment horizontal="center" vertical="center"/>
    </xf>
    <xf numFmtId="0" fontId="8" fillId="19" borderId="19" xfId="0" applyFont="1" applyFill="1" applyBorder="1" applyAlignment="1">
      <alignment horizontal="center" vertical="center"/>
    </xf>
    <xf numFmtId="0" fontId="8" fillId="19" borderId="20" xfId="0" applyNumberFormat="1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5" borderId="20" xfId="0" applyNumberFormat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NumberFormat="1" applyFont="1" applyFill="1" applyBorder="1" applyAlignment="1">
      <alignment horizontal="center" vertical="center"/>
    </xf>
    <xf numFmtId="0" fontId="30" fillId="0" borderId="0" xfId="1" applyFont="1">
      <alignment vertical="center"/>
    </xf>
    <xf numFmtId="0" fontId="10" fillId="10" borderId="0" xfId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/>
    </xf>
    <xf numFmtId="14" fontId="8" fillId="0" borderId="0" xfId="0" applyNumberFormat="1" applyFont="1" applyBorder="1" applyAlignment="1">
      <alignment horizontal="center" vertical="center"/>
    </xf>
    <xf numFmtId="49" fontId="24" fillId="6" borderId="51" xfId="1" applyNumberFormat="1" applyFont="1" applyFill="1" applyBorder="1" applyAlignment="1">
      <alignment horizontal="center" vertical="center"/>
    </xf>
    <xf numFmtId="0" fontId="24" fillId="0" borderId="14" xfId="1" applyFont="1" applyFill="1" applyBorder="1" applyAlignment="1">
      <alignment horizontal="center" vertical="center"/>
    </xf>
    <xf numFmtId="0" fontId="10" fillId="10" borderId="52" xfId="1" applyFill="1" applyBorder="1" applyAlignment="1">
      <alignment horizontal="center" vertical="center"/>
    </xf>
    <xf numFmtId="0" fontId="10" fillId="10" borderId="53" xfId="1" applyFill="1" applyBorder="1" applyAlignment="1">
      <alignment horizontal="center" vertical="center"/>
    </xf>
    <xf numFmtId="0" fontId="10" fillId="10" borderId="54" xfId="1" applyFill="1" applyBorder="1" applyAlignment="1">
      <alignment horizontal="center" vertical="center"/>
    </xf>
    <xf numFmtId="0" fontId="10" fillId="10" borderId="55" xfId="1" applyFill="1" applyBorder="1" applyAlignment="1">
      <alignment horizontal="center" vertical="center"/>
    </xf>
    <xf numFmtId="0" fontId="10" fillId="10" borderId="56" xfId="1" applyFill="1" applyBorder="1" applyAlignment="1">
      <alignment horizontal="center" vertical="center"/>
    </xf>
    <xf numFmtId="0" fontId="18" fillId="0" borderId="57" xfId="1" applyFont="1" applyBorder="1" applyAlignment="1">
      <alignment horizontal="center" vertical="center" wrapText="1" shrinkToFit="1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5" borderId="51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11" fillId="6" borderId="1" xfId="1" applyFont="1" applyFill="1" applyBorder="1" applyAlignment="1">
      <alignment horizontal="center" vertical="center"/>
    </xf>
    <xf numFmtId="14" fontId="8" fillId="0" borderId="58" xfId="0" applyNumberFormat="1" applyFont="1" applyBorder="1" applyAlignment="1">
      <alignment horizontal="center" vertical="center"/>
    </xf>
    <xf numFmtId="0" fontId="8" fillId="17" borderId="59" xfId="0" applyFont="1" applyFill="1" applyBorder="1" applyAlignment="1">
      <alignment horizontal="center" vertical="center"/>
    </xf>
    <xf numFmtId="0" fontId="8" fillId="17" borderId="60" xfId="0" applyNumberFormat="1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8" fillId="17" borderId="1" xfId="0" applyNumberFormat="1" applyFont="1" applyFill="1" applyBorder="1" applyAlignment="1">
      <alignment horizontal="center" vertical="center"/>
    </xf>
    <xf numFmtId="0" fontId="8" fillId="0" borderId="61" xfId="0" applyFont="1" applyBorder="1" applyAlignment="1">
      <alignment horizontal="left" vertical="center"/>
    </xf>
    <xf numFmtId="0" fontId="8" fillId="0" borderId="58" xfId="0" applyFont="1" applyBorder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>
      <alignment vertical="center"/>
    </xf>
    <xf numFmtId="14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7" fontId="6" fillId="4" borderId="3" xfId="0" applyNumberFormat="1" applyFont="1" applyFill="1" applyBorder="1" applyAlignment="1">
      <alignment horizontal="center" vertical="center"/>
    </xf>
    <xf numFmtId="177" fontId="6" fillId="4" borderId="4" xfId="0" applyNumberFormat="1" applyFont="1" applyFill="1" applyBorder="1" applyAlignment="1">
      <alignment horizontal="center" vertical="center"/>
    </xf>
    <xf numFmtId="177" fontId="6" fillId="4" borderId="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6" fillId="0" borderId="15" xfId="1" applyFont="1" applyBorder="1" applyAlignment="1">
      <alignment horizontal="center" vertical="center"/>
    </xf>
    <xf numFmtId="0" fontId="16" fillId="0" borderId="27" xfId="1" applyFont="1" applyBorder="1" applyAlignment="1">
      <alignment horizontal="center" vertical="center"/>
    </xf>
    <xf numFmtId="0" fontId="16" fillId="0" borderId="16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2" fillId="0" borderId="1" xfId="1" applyFont="1" applyBorder="1">
      <alignment vertical="center"/>
    </xf>
    <xf numFmtId="0" fontId="12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/>
    </xf>
    <xf numFmtId="0" fontId="17" fillId="0" borderId="27" xfId="1" applyFont="1" applyBorder="1" applyAlignment="1">
      <alignment horizontal="center" vertical="center" wrapText="1"/>
    </xf>
    <xf numFmtId="0" fontId="17" fillId="0" borderId="16" xfId="1" applyFont="1" applyBorder="1" applyAlignment="1">
      <alignment horizontal="center" vertical="center" wrapText="1"/>
    </xf>
    <xf numFmtId="0" fontId="25" fillId="0" borderId="36" xfId="1" applyFont="1" applyBorder="1" applyAlignment="1">
      <alignment horizontal="center" vertical="center" wrapText="1"/>
    </xf>
    <xf numFmtId="0" fontId="25" fillId="0" borderId="39" xfId="1" applyFont="1" applyBorder="1" applyAlignment="1">
      <alignment horizontal="center" vertical="center"/>
    </xf>
    <xf numFmtId="0" fontId="25" fillId="0" borderId="37" xfId="1" applyFont="1" applyBorder="1" applyAlignment="1">
      <alignment horizontal="center" vertical="center" wrapText="1"/>
    </xf>
    <xf numFmtId="0" fontId="25" fillId="0" borderId="40" xfId="1" applyFont="1" applyBorder="1" applyAlignment="1">
      <alignment horizontal="center" vertical="center"/>
    </xf>
    <xf numFmtId="0" fontId="23" fillId="0" borderId="47" xfId="1" applyFont="1" applyBorder="1" applyAlignment="1">
      <alignment horizontal="center" vertical="center"/>
    </xf>
    <xf numFmtId="0" fontId="22" fillId="0" borderId="28" xfId="1" applyFont="1" applyBorder="1" applyAlignment="1">
      <alignment horizontal="center" vertical="center"/>
    </xf>
    <xf numFmtId="0" fontId="22" fillId="0" borderId="29" xfId="1" applyFont="1" applyBorder="1" applyAlignment="1">
      <alignment horizontal="center" vertical="center"/>
    </xf>
    <xf numFmtId="0" fontId="22" fillId="0" borderId="30" xfId="1" applyFont="1" applyBorder="1" applyAlignment="1">
      <alignment horizontal="center" vertical="center"/>
    </xf>
    <xf numFmtId="0" fontId="24" fillId="0" borderId="31" xfId="1" applyFont="1" applyBorder="1">
      <alignment vertical="center"/>
    </xf>
    <xf numFmtId="0" fontId="24" fillId="0" borderId="0" xfId="1" applyFont="1">
      <alignment vertical="center"/>
    </xf>
    <xf numFmtId="0" fontId="24" fillId="0" borderId="0" xfId="1" applyFont="1" applyAlignment="1">
      <alignment horizontal="right" vertical="center"/>
    </xf>
    <xf numFmtId="0" fontId="25" fillId="0" borderId="33" xfId="1" applyFont="1" applyBorder="1" applyAlignment="1">
      <alignment horizontal="center" vertical="center"/>
    </xf>
    <xf numFmtId="0" fontId="25" fillId="0" borderId="35" xfId="1" applyFont="1" applyBorder="1" applyAlignment="1">
      <alignment horizontal="center" vertical="center"/>
    </xf>
    <xf numFmtId="0" fontId="25" fillId="0" borderId="38" xfId="1" applyFont="1" applyBorder="1" applyAlignment="1">
      <alignment horizontal="center" vertical="center"/>
    </xf>
    <xf numFmtId="0" fontId="25" fillId="0" borderId="34" xfId="1" applyFont="1" applyBorder="1" applyAlignment="1">
      <alignment horizontal="center" vertical="center"/>
    </xf>
    <xf numFmtId="0" fontId="25" fillId="0" borderId="36" xfId="1" applyFont="1" applyBorder="1" applyAlignment="1">
      <alignment horizontal="center" vertical="center"/>
    </xf>
    <xf numFmtId="0" fontId="25" fillId="0" borderId="34" xfId="1" applyFont="1" applyBorder="1" applyAlignment="1">
      <alignment horizontal="center" vertical="center" wrapText="1"/>
    </xf>
    <xf numFmtId="0" fontId="25" fillId="0" borderId="30" xfId="1" applyFont="1" applyBorder="1" applyAlignment="1">
      <alignment horizontal="center" vertical="center"/>
    </xf>
    <xf numFmtId="0" fontId="25" fillId="0" borderId="32" xfId="1" applyFont="1" applyBorder="1" applyAlignment="1">
      <alignment horizontal="center" vertical="center"/>
    </xf>
    <xf numFmtId="0" fontId="25" fillId="0" borderId="41" xfId="1" applyFont="1" applyBorder="1" applyAlignment="1">
      <alignment horizontal="center" vertical="center"/>
    </xf>
  </cellXfs>
  <cellStyles count="2">
    <cellStyle name="표준" xfId="0" builtinId="0"/>
    <cellStyle name="표준 2" xfId="1" xr:uid="{F594EA61-4C3E-4CB6-A1D8-ABB4140A09AB}"/>
  </cellStyles>
  <dxfs count="3">
    <dxf>
      <font>
        <color rgb="FFFF0000"/>
      </font>
    </dxf>
    <dxf>
      <font>
        <b val="0"/>
        <i val="0"/>
        <color theme="2" tint="-9.9917600024414813E-2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&#51032;&#47308;&#44284;_6&#50900;_&#44060;&#51064;&#48324;_&#52488;&#44284;&#44540;&#47924;&#45236;&#50669;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야근횟수&amp;비번"/>
      <sheetName val="잔업시간"/>
      <sheetName val="의료과 개인별 초과근무내역"/>
    </sheetNames>
    <sheetDataSet>
      <sheetData sheetId="0"/>
      <sheetData sheetId="1">
        <row r="3">
          <cell r="M3" t="str">
            <v>부이사관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1F29-C9A1-419F-B1E3-DE1D3CCB2BA4}">
  <sheetPr>
    <pageSetUpPr fitToPage="1"/>
  </sheetPr>
  <dimension ref="B1:T18"/>
  <sheetViews>
    <sheetView view="pageBreakPreview" zoomScale="95" zoomScaleNormal="100" zoomScaleSheetLayoutView="95" workbookViewId="0">
      <selection activeCell="C12" sqref="C12"/>
    </sheetView>
  </sheetViews>
  <sheetFormatPr defaultRowHeight="16.5" x14ac:dyDescent="0.3"/>
  <cols>
    <col min="2" max="8" width="22.125" customWidth="1"/>
    <col min="10" max="16" width="11.125" hidden="1" customWidth="1"/>
    <col min="18" max="18" width="11.125" bestFit="1" customWidth="1"/>
    <col min="19" max="20" width="19.5" customWidth="1"/>
  </cols>
  <sheetData>
    <row r="1" spans="2:20" ht="45.75" x14ac:dyDescent="0.3">
      <c r="B1" s="156" t="s">
        <v>47</v>
      </c>
      <c r="C1" s="156"/>
      <c r="D1" s="156"/>
      <c r="E1" s="156"/>
      <c r="F1" s="156"/>
      <c r="G1" s="156"/>
      <c r="H1" s="156"/>
    </row>
    <row r="2" spans="2:20" ht="26.25" customHeight="1" x14ac:dyDescent="0.3">
      <c r="B2" s="3" t="s">
        <v>37</v>
      </c>
      <c r="C2" s="4">
        <v>2026</v>
      </c>
      <c r="D2" s="5"/>
      <c r="E2" s="5"/>
      <c r="F2" s="5"/>
      <c r="G2" s="5"/>
      <c r="H2" s="5"/>
    </row>
    <row r="3" spans="2:20" ht="26.25" customHeight="1" x14ac:dyDescent="0.3">
      <c r="B3" s="3" t="s">
        <v>38</v>
      </c>
      <c r="C3" s="4">
        <v>8</v>
      </c>
      <c r="D3" s="5"/>
      <c r="E3" s="5"/>
      <c r="F3" s="5"/>
      <c r="G3" s="5"/>
      <c r="H3" s="5"/>
    </row>
    <row r="4" spans="2:20" ht="20.25" x14ac:dyDescent="0.3">
      <c r="B4" s="5"/>
      <c r="C4" s="5"/>
      <c r="D4" s="5"/>
      <c r="E4" s="5"/>
      <c r="F4" s="5"/>
      <c r="G4" s="5"/>
      <c r="H4" s="5"/>
    </row>
    <row r="5" spans="2:20" ht="42.75" customHeight="1" x14ac:dyDescent="0.3">
      <c r="B5" s="153">
        <f>DATE(C2,C3,1)</f>
        <v>46235</v>
      </c>
      <c r="C5" s="154"/>
      <c r="D5" s="154"/>
      <c r="E5" s="154"/>
      <c r="F5" s="154"/>
      <c r="G5" s="154"/>
      <c r="H5" s="155"/>
      <c r="R5" s="15"/>
    </row>
    <row r="6" spans="2:20" ht="28.5" customHeight="1" x14ac:dyDescent="0.3">
      <c r="B6" s="7" t="s">
        <v>1</v>
      </c>
      <c r="C6" s="6" t="s">
        <v>0</v>
      </c>
      <c r="D6" s="6" t="s">
        <v>2</v>
      </c>
      <c r="E6" s="6" t="s">
        <v>3</v>
      </c>
      <c r="F6" s="6" t="s">
        <v>4</v>
      </c>
      <c r="G6" s="6" t="s">
        <v>5</v>
      </c>
      <c r="H6" s="8" t="s">
        <v>6</v>
      </c>
    </row>
    <row r="7" spans="2:20" ht="81" x14ac:dyDescent="0.3">
      <c r="B7" s="9" t="str" cm="1">
        <f t="array" ref="B7:H12">IFERROR("["&amp;VLOOKUP(_xlfn.SEQUENCE(6,7,B5-WEEKDAY(B5)+1,1),공휴일!B:C,2,0)&amp;"]","")&amp;TEXT(_xlfn.SEQUENCE(6,7,B5-WEEKDAY(B5)+1,1),"m/d")&amp;CHAR(10)&amp;IFERROR(VLOOKUP(_xlfn.SEQUENCE(6,7,B5-WEEKDAY(B5)+1,1),숙직근무자!B:G,2,0),"")&amp;IFERROR(IF(VLOOKUP(_xlfn.SEQUENCE(6,7,B5-WEEKDAY(B5)+1,1),숙직근무자!B:G,3,0)&gt;0,"("&amp;VLOOKUP(_xlfn.SEQUENCE(6,7,B5-WEEKDAY(B5)+1,1),숙직근무자!B:G,3,0)&amp;")",""),"")&amp;CHAR(10)&amp;IFERROR(VLOOKUP(_xlfn.SEQUENCE(6,7,B5-WEEKDAY(B5)+1,1),숙직근무자!B:G,4,0),"")&amp;IFERROR(IF(VLOOKUP(_xlfn.SEQUENCE(6,7,B5-WEEKDAY(B5)+1,1),숙직근무자!B:G,5,0)&gt;0,"("&amp;VLOOKUP(_xlfn.SEQUENCE(6,7,B5-WEEKDAY(B5)+1,1),숙직근무자!B:G,5,0)&amp;")",""),"")&amp;CHAR(10)&amp;IFERROR(IF(VLOOKUP(_xlfn.SEQUENCE(6,7,B5-WEEKDAY(B5)+1,1),숙직근무자!B:G,6,0)&gt;0,VLOOKUP(_xlfn.SEQUENCE(6,7,B5-WEEKDAY(B5)+1,1),숙직근무자!B:G,6,0),""),"")</f>
        <v xml:space="preserve">7/26
고석규
이승현(정찬웅)
</v>
      </c>
      <c r="C7" s="10" t="str">
        <v>7/27
구민아
오기희
*인사이동</v>
      </c>
      <c r="D7" s="10" t="str">
        <v xml:space="preserve">7/28
유진수
우정수
</v>
      </c>
      <c r="E7" s="10" t="str">
        <v xml:space="preserve">7/29
이현숙
이원철
</v>
      </c>
      <c r="F7" s="10" t="str">
        <v xml:space="preserve">7/30
신혜원
정찬웅(서진호)
</v>
      </c>
      <c r="G7" s="10" t="str">
        <v xml:space="preserve">7/31
유진수
서진호(정찬웅)
</v>
      </c>
      <c r="H7" s="11" t="str">
        <v xml:space="preserve">8/1
구민아
오기희
</v>
      </c>
      <c r="J7" s="1" cm="1">
        <f t="array" ref="J7:P12">_xlfn.SEQUENCE(6,7,B5-WEEKDAY(B5)+1,1)</f>
        <v>46229</v>
      </c>
      <c r="K7" s="1">
        <v>46230</v>
      </c>
      <c r="L7" s="1">
        <v>46231</v>
      </c>
      <c r="M7" s="1">
        <v>46232</v>
      </c>
      <c r="N7" s="1">
        <v>46233</v>
      </c>
      <c r="O7" s="1">
        <v>46234</v>
      </c>
      <c r="P7" s="1">
        <v>46235</v>
      </c>
      <c r="R7" s="33"/>
      <c r="S7" s="33"/>
      <c r="T7" s="33"/>
    </row>
    <row r="8" spans="2:20" ht="81" x14ac:dyDescent="0.3">
      <c r="B8" s="9" t="str">
        <v xml:space="preserve">8/2
고석규
이승현
</v>
      </c>
      <c r="C8" s="10" t="str">
        <v xml:space="preserve">8/3
한문영
유진수
</v>
      </c>
      <c r="D8" s="10" t="str">
        <v xml:space="preserve">8/4
이현숙
이원철
</v>
      </c>
      <c r="E8" s="10" t="str">
        <v xml:space="preserve">8/5
안지영
정찬웅
</v>
      </c>
      <c r="F8" s="10" t="str">
        <v xml:space="preserve">8/6
송남철
서진호
</v>
      </c>
      <c r="G8" s="10" t="str">
        <v xml:space="preserve">8/7
신혜원
장민우
</v>
      </c>
      <c r="H8" s="11" t="str">
        <v xml:space="preserve">8/8
여철호
우정수(이승현)
</v>
      </c>
      <c r="J8" s="1">
        <v>46236</v>
      </c>
      <c r="K8" s="1">
        <v>46237</v>
      </c>
      <c r="L8" s="1">
        <v>46238</v>
      </c>
      <c r="M8" s="1">
        <v>46239</v>
      </c>
      <c r="N8" s="1">
        <v>46240</v>
      </c>
      <c r="O8" s="1">
        <v>46241</v>
      </c>
      <c r="P8" s="1">
        <v>46242</v>
      </c>
    </row>
    <row r="9" spans="2:20" ht="81" x14ac:dyDescent="0.3">
      <c r="B9" s="9" t="str">
        <v xml:space="preserve">8/9
구민아
오기희
</v>
      </c>
      <c r="C9" s="10" t="str">
        <v xml:space="preserve">8/10
고석규
이승현(우정수)
</v>
      </c>
      <c r="D9" s="10" t="str">
        <v xml:space="preserve">8/11
한문영
유진수
</v>
      </c>
      <c r="E9" s="10" t="str">
        <v xml:space="preserve">8/12
이현숙
이원철
</v>
      </c>
      <c r="F9" s="10" t="str">
        <v xml:space="preserve">8/13
안지영(송남철)
정찬웅
</v>
      </c>
      <c r="G9" s="10" t="str">
        <v xml:space="preserve">8/14
송남철(안지영)
서진호
</v>
      </c>
      <c r="H9" s="11" t="str">
        <v xml:space="preserve">[광복절]8/15
신혜원
장민우
</v>
      </c>
      <c r="J9" s="1">
        <v>46243</v>
      </c>
      <c r="K9" s="1">
        <v>46244</v>
      </c>
      <c r="L9" s="1">
        <v>46245</v>
      </c>
      <c r="M9" s="1">
        <v>46246</v>
      </c>
      <c r="N9" s="1">
        <v>46247</v>
      </c>
      <c r="O9" s="1">
        <v>46248</v>
      </c>
      <c r="P9" s="1">
        <v>46249</v>
      </c>
    </row>
    <row r="10" spans="2:20" ht="81" x14ac:dyDescent="0.3">
      <c r="B10" s="9" t="str">
        <v xml:space="preserve">8/16
여철호
우정수(구민아)
</v>
      </c>
      <c r="C10" s="10" t="str">
        <v xml:space="preserve">[대체공휴일]8/17
구민아(우정수)
오기희
</v>
      </c>
      <c r="D10" s="10" t="str">
        <v>8/18
고석규
이승현(정찬웅)
*을지훈련</v>
      </c>
      <c r="E10" s="10" t="str">
        <v>8/19
한문영
유진수
*을지훈련</v>
      </c>
      <c r="F10" s="10" t="str">
        <v>8/20
이현숙
이원철
*을지훈련</v>
      </c>
      <c r="G10" s="10" t="str">
        <v>8/21
안지영(송남철)
정찬웅(이승현)
*을지훈련</v>
      </c>
      <c r="H10" s="11" t="str">
        <v xml:space="preserve">8/22
송남철(안지영)
서진호
</v>
      </c>
      <c r="J10" s="1">
        <v>46250</v>
      </c>
      <c r="K10" s="1">
        <v>46251</v>
      </c>
      <c r="L10" s="1">
        <v>46252</v>
      </c>
      <c r="M10" s="1">
        <v>46253</v>
      </c>
      <c r="N10" s="1">
        <v>46254</v>
      </c>
      <c r="O10" s="1">
        <v>46255</v>
      </c>
      <c r="P10" s="1">
        <v>46256</v>
      </c>
    </row>
    <row r="11" spans="2:20" ht="81" x14ac:dyDescent="0.3">
      <c r="B11" s="9" t="str">
        <v xml:space="preserve">8/23
신혜원
장민우(유진수)
</v>
      </c>
      <c r="C11" s="10" t="str">
        <v xml:space="preserve">8/24
여철호
우정수(구민아)
</v>
      </c>
      <c r="D11" s="10" t="str">
        <v xml:space="preserve">8/25
구민아(우정수)
오기희
</v>
      </c>
      <c r="E11" s="10" t="str">
        <v xml:space="preserve">8/26
고석규
이승현
</v>
      </c>
      <c r="F11" s="10" t="str">
        <v xml:space="preserve">8/27
한문영
유진수
</v>
      </c>
      <c r="G11" s="10" t="str">
        <v xml:space="preserve">8/28
이현숙
이원철
</v>
      </c>
      <c r="H11" s="11" t="str">
        <v xml:space="preserve">8/29
안지영
정찬웅(서진호)
</v>
      </c>
      <c r="J11" s="1">
        <v>46257</v>
      </c>
      <c r="K11" s="1">
        <v>46258</v>
      </c>
      <c r="L11" s="1">
        <v>46259</v>
      </c>
      <c r="M11" s="1">
        <v>46260</v>
      </c>
      <c r="N11" s="1">
        <v>46261</v>
      </c>
      <c r="O11" s="1">
        <v>46262</v>
      </c>
      <c r="P11" s="1">
        <v>46263</v>
      </c>
    </row>
    <row r="12" spans="2:20" ht="81" x14ac:dyDescent="0.3">
      <c r="B12" s="12" t="str">
        <v xml:space="preserve">8/30
송남철
서진호(정찬웅)
</v>
      </c>
      <c r="C12" s="13" t="str">
        <v xml:space="preserve">8/31
신혜원
장민우(이승현)
</v>
      </c>
      <c r="D12" s="13" t="str">
        <v xml:space="preserve">9/1
여철호
우정수
</v>
      </c>
      <c r="E12" s="13" t="str">
        <v xml:space="preserve">9/2
구민아
오기희
</v>
      </c>
      <c r="F12" s="13" t="str">
        <v xml:space="preserve">9/3
고석규
이승현(한문영)
</v>
      </c>
      <c r="G12" s="13" t="str">
        <v xml:space="preserve">9/4
한문영(이승현)
유진수
</v>
      </c>
      <c r="H12" s="14" t="str">
        <v xml:space="preserve">9/5
이현숙
이원철
</v>
      </c>
      <c r="J12" s="1">
        <v>46264</v>
      </c>
      <c r="K12" s="1">
        <v>46265</v>
      </c>
      <c r="L12" s="1">
        <v>46266</v>
      </c>
      <c r="M12" s="1">
        <v>46267</v>
      </c>
      <c r="N12" s="1">
        <v>46268</v>
      </c>
      <c r="O12" s="1">
        <v>46269</v>
      </c>
      <c r="P12" s="1">
        <v>46270</v>
      </c>
    </row>
    <row r="13" spans="2:20" x14ac:dyDescent="0.3">
      <c r="B13" s="2"/>
      <c r="C13" s="2"/>
      <c r="D13" s="2"/>
      <c r="E13" s="2"/>
      <c r="F13" s="2"/>
      <c r="G13" s="2"/>
      <c r="H13" s="2"/>
    </row>
    <row r="14" spans="2:20" x14ac:dyDescent="0.3">
      <c r="B14" s="2"/>
      <c r="C14" s="2"/>
      <c r="D14" s="2"/>
      <c r="E14" s="2"/>
      <c r="F14" s="2"/>
      <c r="G14" s="2"/>
      <c r="H14" s="2"/>
    </row>
    <row r="15" spans="2:20" x14ac:dyDescent="0.3">
      <c r="B15" s="2"/>
      <c r="C15" s="2"/>
      <c r="D15" s="2"/>
      <c r="E15" s="2"/>
      <c r="F15" s="2"/>
      <c r="G15" s="2"/>
      <c r="H15" s="2"/>
    </row>
    <row r="16" spans="2:20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</sheetData>
  <mergeCells count="2">
    <mergeCell ref="B5:H5"/>
    <mergeCell ref="B1:H1"/>
  </mergeCells>
  <phoneticPr fontId="1" type="noConversion"/>
  <conditionalFormatting sqref="B7:H12">
    <cfRule type="expression" dxfId="2" priority="1">
      <formula>MONTH(J7)&lt;&gt;$C$3</formula>
    </cfRule>
    <cfRule type="expression" dxfId="1" priority="4" stopIfTrue="1">
      <formula>MONTH(B7)&lt;&gt;$C$3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1" fitToWidth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EB2D5709-015A-4CCB-BFD8-993B86C601FE}">
            <xm:f>COUNTIF(공휴일!$B$4:$B$987,J7)&gt;0</xm:f>
            <x14:dxf>
              <font>
                <color rgb="FFFF0000"/>
              </font>
            </x14:dxf>
          </x14:cfRule>
          <xm:sqref>B7:H12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F18A-0FF2-4DA9-B9F6-DFD7744E2FA2}">
  <dimension ref="A1:AD899"/>
  <sheetViews>
    <sheetView tabSelected="1" view="pageBreakPreview" zoomScale="106" zoomScaleNormal="100" zoomScaleSheetLayoutView="106" workbookViewId="0">
      <pane ySplit="4" topLeftCell="A875" activePane="bottomLeft" state="frozen"/>
      <selection pane="bottomLeft" activeCell="B4" sqref="B4:M899"/>
    </sheetView>
  </sheetViews>
  <sheetFormatPr defaultRowHeight="17.25" x14ac:dyDescent="0.3"/>
  <cols>
    <col min="1" max="1" width="12.75" style="17" bestFit="1" customWidth="1"/>
    <col min="2" max="2" width="14.125" style="95" bestFit="1" customWidth="1"/>
    <col min="3" max="3" width="11.5" style="93" customWidth="1"/>
    <col min="4" max="4" width="11.125" style="96" customWidth="1"/>
    <col min="5" max="5" width="11" style="93" customWidth="1"/>
    <col min="6" max="6" width="11.25" style="96" customWidth="1"/>
    <col min="7" max="7" width="11.5" style="97" customWidth="1"/>
    <col min="8" max="8" width="9" style="92"/>
    <col min="9" max="9" width="12.75" style="94" bestFit="1" customWidth="1"/>
    <col min="10" max="10" width="10.875" style="93" bestFit="1" customWidth="1"/>
    <col min="11" max="11" width="10.875" style="98" bestFit="1" customWidth="1"/>
    <col min="12" max="12" width="9" style="17"/>
    <col min="13" max="13" width="9" style="16"/>
    <col min="14" max="14" width="9" style="17"/>
    <col min="15" max="15" width="9.625" style="17" bestFit="1" customWidth="1"/>
    <col min="16" max="16384" width="9" style="17"/>
  </cols>
  <sheetData>
    <row r="1" spans="1:30" x14ac:dyDescent="0.3">
      <c r="B1" s="18" t="s">
        <v>42</v>
      </c>
      <c r="C1" s="19" t="s">
        <v>15</v>
      </c>
      <c r="D1" s="18" t="s">
        <v>14</v>
      </c>
      <c r="E1" s="19" t="s">
        <v>12</v>
      </c>
      <c r="F1" s="18" t="s">
        <v>16</v>
      </c>
      <c r="G1" s="20" t="s">
        <v>13</v>
      </c>
      <c r="H1" s="21" t="s">
        <v>41</v>
      </c>
      <c r="I1" s="19" t="s">
        <v>17</v>
      </c>
      <c r="J1" s="22" t="s">
        <v>40</v>
      </c>
      <c r="M1" s="18" t="s">
        <v>42</v>
      </c>
      <c r="N1" s="19" t="s">
        <v>15</v>
      </c>
      <c r="O1" s="18" t="s">
        <v>14</v>
      </c>
      <c r="P1" s="19" t="s">
        <v>12</v>
      </c>
      <c r="Q1" s="18" t="s">
        <v>16</v>
      </c>
      <c r="R1" s="20" t="s">
        <v>13</v>
      </c>
      <c r="S1" s="21" t="s">
        <v>41</v>
      </c>
      <c r="T1" s="19" t="s">
        <v>17</v>
      </c>
      <c r="U1" s="22" t="s">
        <v>40</v>
      </c>
    </row>
    <row r="2" spans="1:30" x14ac:dyDescent="0.3">
      <c r="B2" s="18" t="s">
        <v>43</v>
      </c>
      <c r="C2" s="21" t="s">
        <v>44</v>
      </c>
      <c r="D2" s="20" t="s">
        <v>18</v>
      </c>
      <c r="E2" s="23" t="s">
        <v>10</v>
      </c>
      <c r="F2" s="24" t="s">
        <v>20</v>
      </c>
      <c r="G2" s="22" t="s">
        <v>21</v>
      </c>
      <c r="H2" s="24" t="s">
        <v>22</v>
      </c>
      <c r="I2" s="23" t="s">
        <v>11</v>
      </c>
      <c r="J2" s="18" t="s">
        <v>19</v>
      </c>
      <c r="M2" s="18" t="s">
        <v>43</v>
      </c>
      <c r="N2" s="21" t="s">
        <v>44</v>
      </c>
      <c r="O2" s="20" t="s">
        <v>18</v>
      </c>
      <c r="P2" s="23" t="s">
        <v>10</v>
      </c>
      <c r="Q2" s="24" t="s">
        <v>20</v>
      </c>
      <c r="R2" s="22" t="s">
        <v>21</v>
      </c>
      <c r="S2" s="24" t="s">
        <v>22</v>
      </c>
      <c r="T2" s="23" t="s">
        <v>11</v>
      </c>
      <c r="U2" s="18" t="s">
        <v>19</v>
      </c>
    </row>
    <row r="3" spans="1:30" ht="18" thickBot="1" x14ac:dyDescent="0.35"/>
    <row r="4" spans="1:30" ht="18" thickBot="1" x14ac:dyDescent="0.35">
      <c r="B4" s="29" t="s">
        <v>7</v>
      </c>
      <c r="C4" s="25" t="s">
        <v>8</v>
      </c>
      <c r="D4" s="26" t="s">
        <v>45</v>
      </c>
      <c r="E4" s="25" t="s">
        <v>9</v>
      </c>
      <c r="F4" s="26" t="s">
        <v>46</v>
      </c>
      <c r="G4" s="86" t="s">
        <v>48</v>
      </c>
      <c r="H4" s="91" t="s">
        <v>137</v>
      </c>
      <c r="I4" s="96" t="s">
        <v>148</v>
      </c>
      <c r="J4" s="93" t="s">
        <v>139</v>
      </c>
      <c r="K4" s="98" t="s">
        <v>140</v>
      </c>
      <c r="L4" s="92"/>
    </row>
    <row r="5" spans="1:30" x14ac:dyDescent="0.3">
      <c r="A5" s="27"/>
      <c r="B5" s="30">
        <v>46224</v>
      </c>
      <c r="C5" s="99" t="s">
        <v>17</v>
      </c>
      <c r="D5" s="100" t="s">
        <v>13</v>
      </c>
      <c r="E5" s="99" t="s">
        <v>20</v>
      </c>
      <c r="F5" s="100"/>
      <c r="G5" s="87"/>
      <c r="H5" s="90" t="str">
        <f>IF(WORKDAY(B5-1,1,공휴일!$B$4:$B$24)=B5,IF(WORKDAY(B5,1,공휴일!$B$4:$B$24)&lt;&gt;B5+1,"금요일","평일"),IF(WORKDAY(B5,1,공휴일!$B$4:$B$24)&lt;&gt;B5+1,"토요일","일요일"))</f>
        <v>평일</v>
      </c>
      <c r="I5" s="125" t="str">
        <f>TEXT(B5,"yyyy-mm")</f>
        <v>2026-07</v>
      </c>
      <c r="J5" s="93" t="str">
        <f>IF(D5="",C5,D5)</f>
        <v>안지영</v>
      </c>
      <c r="K5" s="93" t="str">
        <f>IF(F5="",E5,F5)</f>
        <v>이원철</v>
      </c>
      <c r="L5" s="16" t="str">
        <f t="shared" ref="L5:L36" si="0">TEXT(B5,"aaa")</f>
        <v>화</v>
      </c>
      <c r="M5" s="17" t="str">
        <f>IFERROR(VLOOKUP(B5,공휴일!B:C,2,0),"")</f>
        <v/>
      </c>
    </row>
    <row r="6" spans="1:30" x14ac:dyDescent="0.3">
      <c r="B6" s="30">
        <v>46225</v>
      </c>
      <c r="C6" s="99" t="s">
        <v>10</v>
      </c>
      <c r="D6" s="100"/>
      <c r="E6" s="99" t="s">
        <v>21</v>
      </c>
      <c r="F6" s="100"/>
      <c r="G6" s="87"/>
      <c r="H6" s="28" t="str">
        <f>IF(WORKDAY(B6-1,1,공휴일!$B$4:$B$24)=B6,IF(WORKDAY(B6,1,공휴일!$B$4:$B$24)&lt;&gt;B6+1,"금요일","평일"),IF(WORKDAY(B6,1,공휴일!$B$4:$B$24)&lt;&gt;B6+1,"토요일","일요일"))</f>
        <v>평일</v>
      </c>
      <c r="I6" s="125" t="str">
        <f t="shared" ref="I6:I69" si="1">TEXT(B6,"yyyy-mm")</f>
        <v>2026-07</v>
      </c>
      <c r="J6" s="93" t="str">
        <f t="shared" ref="J6:J69" si="2">IF(D6="",C6,D6)</f>
        <v>유진수</v>
      </c>
      <c r="K6" s="93" t="str">
        <f t="shared" ref="K6:K69" si="3">IF(F6="",E6,F6)</f>
        <v>정찬웅</v>
      </c>
      <c r="L6" s="16" t="str">
        <f t="shared" si="0"/>
        <v>수</v>
      </c>
      <c r="M6" s="17" t="str">
        <f>IFERROR(VLOOKUP(B6,공휴일!B:C,2,0),"")</f>
        <v/>
      </c>
    </row>
    <row r="7" spans="1:30" x14ac:dyDescent="0.3">
      <c r="B7" s="30">
        <v>46226</v>
      </c>
      <c r="C7" s="99" t="s">
        <v>11</v>
      </c>
      <c r="D7" s="100" t="s">
        <v>49</v>
      </c>
      <c r="E7" s="99" t="s">
        <v>22</v>
      </c>
      <c r="F7" s="100"/>
      <c r="G7" s="87"/>
      <c r="H7" s="28" t="str">
        <f>IF(WORKDAY(B7-1,1,공휴일!$B$4:$B$24)=B7,IF(WORKDAY(B7,1,공휴일!$B$4:$B$24)&lt;&gt;B7+1,"금요일","평일"),IF(WORKDAY(B7,1,공휴일!$B$4:$B$24)&lt;&gt;B7+1,"토요일","일요일"))</f>
        <v>평일</v>
      </c>
      <c r="I7" s="125" t="str">
        <f t="shared" si="1"/>
        <v>2026-07</v>
      </c>
      <c r="J7" s="93" t="str">
        <f t="shared" si="2"/>
        <v>박찬식</v>
      </c>
      <c r="K7" s="93" t="str">
        <f t="shared" si="3"/>
        <v>서진호</v>
      </c>
      <c r="L7" s="16" t="str">
        <f t="shared" si="0"/>
        <v>목</v>
      </c>
      <c r="M7" s="17" t="str">
        <f>IFERROR(VLOOKUP(B7,공휴일!B:C,2,0),"")</f>
        <v/>
      </c>
      <c r="W7" s="19" t="s">
        <v>15</v>
      </c>
      <c r="X7" s="18" t="s">
        <v>14</v>
      </c>
      <c r="Y7" s="20" t="s">
        <v>13</v>
      </c>
      <c r="Z7" s="18" t="s">
        <v>41</v>
      </c>
      <c r="AA7" s="19" t="s">
        <v>12</v>
      </c>
      <c r="AB7" s="22" t="s">
        <v>40</v>
      </c>
      <c r="AC7" s="19" t="s">
        <v>17</v>
      </c>
      <c r="AD7" s="18" t="s">
        <v>16</v>
      </c>
    </row>
    <row r="8" spans="1:30" x14ac:dyDescent="0.3">
      <c r="B8" s="30">
        <v>46227</v>
      </c>
      <c r="C8" s="99" t="s">
        <v>12</v>
      </c>
      <c r="D8" s="100"/>
      <c r="E8" s="99" t="s">
        <v>49</v>
      </c>
      <c r="F8" s="100" t="s">
        <v>11</v>
      </c>
      <c r="G8" s="87"/>
      <c r="H8" s="28" t="str">
        <f>IF(WORKDAY(B8-1,1,공휴일!$B$4:$B$24)=B8,IF(WORKDAY(B8,1,공휴일!$B$4:$B$24)&lt;&gt;B8+1,"금요일","평일"),IF(WORKDAY(B8,1,공휴일!$B$4:$B$24)&lt;&gt;B8+1,"토요일","일요일"))</f>
        <v>금요일</v>
      </c>
      <c r="I8" s="125" t="str">
        <f t="shared" si="1"/>
        <v>2026-07</v>
      </c>
      <c r="J8" s="93" t="str">
        <f t="shared" si="2"/>
        <v>한문영</v>
      </c>
      <c r="K8" s="93" t="str">
        <f t="shared" si="3"/>
        <v>장민우</v>
      </c>
      <c r="L8" s="16" t="str">
        <f t="shared" si="0"/>
        <v>금</v>
      </c>
      <c r="M8" s="17" t="str">
        <f>IFERROR(VLOOKUP(B8,공휴일!B:C,2,0),"")</f>
        <v/>
      </c>
    </row>
    <row r="9" spans="1:30" x14ac:dyDescent="0.3">
      <c r="B9" s="30">
        <v>46228</v>
      </c>
      <c r="C9" s="99" t="s">
        <v>13</v>
      </c>
      <c r="D9" s="100"/>
      <c r="E9" s="99" t="s">
        <v>18</v>
      </c>
      <c r="F9" s="100" t="s">
        <v>19</v>
      </c>
      <c r="G9" s="87"/>
      <c r="H9" s="28" t="str">
        <f>IF(WORKDAY(B9-1,1,공휴일!$B$4:$B$24)=B9,IF(WORKDAY(B9,1,공휴일!$B$4:$B$24)&lt;&gt;B9+1,"금요일","평일"),IF(WORKDAY(B9,1,공휴일!$B$4:$B$24)&lt;&gt;B9+1,"토요일","일요일"))</f>
        <v>토요일</v>
      </c>
      <c r="I9" s="125" t="str">
        <f t="shared" si="1"/>
        <v>2026-07</v>
      </c>
      <c r="J9" s="93" t="str">
        <f t="shared" si="2"/>
        <v>안지영</v>
      </c>
      <c r="K9" s="93" t="str">
        <f t="shared" si="3"/>
        <v>우정수</v>
      </c>
      <c r="L9" s="16" t="str">
        <f t="shared" si="0"/>
        <v>토</v>
      </c>
      <c r="M9" s="17" t="str">
        <f>IFERROR(VLOOKUP(B9,공휴일!B:C,2,0),"")</f>
        <v/>
      </c>
      <c r="W9" s="21" t="s">
        <v>44</v>
      </c>
      <c r="X9" s="20" t="s">
        <v>18</v>
      </c>
      <c r="Y9" s="23" t="s">
        <v>11</v>
      </c>
      <c r="Z9" s="24" t="s">
        <v>20</v>
      </c>
      <c r="AA9" s="22" t="s">
        <v>21</v>
      </c>
      <c r="AB9" s="18" t="s">
        <v>19</v>
      </c>
      <c r="AC9" s="24" t="s">
        <v>22</v>
      </c>
      <c r="AD9" s="23" t="s">
        <v>10</v>
      </c>
    </row>
    <row r="10" spans="1:30" x14ac:dyDescent="0.3">
      <c r="B10" s="30">
        <v>46229</v>
      </c>
      <c r="C10" s="99" t="s">
        <v>14</v>
      </c>
      <c r="D10" s="100"/>
      <c r="E10" s="99" t="s">
        <v>18</v>
      </c>
      <c r="F10" s="100" t="s">
        <v>21</v>
      </c>
      <c r="G10" s="87"/>
      <c r="H10" s="28" t="str">
        <f>IF(WORKDAY(B10-1,1,공휴일!$B$4:$B$24)=B10,IF(WORKDAY(B10,1,공휴일!$B$4:$B$24)&lt;&gt;B10+1,"금요일","평일"),IF(WORKDAY(B10,1,공휴일!$B$4:$B$24)&lt;&gt;B10+1,"토요일","일요일"))</f>
        <v>일요일</v>
      </c>
      <c r="I10" s="125" t="str">
        <f t="shared" si="1"/>
        <v>2026-07</v>
      </c>
      <c r="J10" s="93" t="str">
        <f t="shared" si="2"/>
        <v>고석규</v>
      </c>
      <c r="K10" s="93" t="str">
        <f t="shared" si="3"/>
        <v>정찬웅</v>
      </c>
      <c r="L10" s="16" t="str">
        <f t="shared" si="0"/>
        <v>일</v>
      </c>
      <c r="M10" s="17" t="str">
        <f>IFERROR(VLOOKUP(B10,공휴일!B:C,2,0),"")</f>
        <v/>
      </c>
    </row>
    <row r="11" spans="1:30" x14ac:dyDescent="0.3">
      <c r="B11" s="30">
        <v>46230</v>
      </c>
      <c r="C11" s="99" t="s">
        <v>15</v>
      </c>
      <c r="D11" s="100"/>
      <c r="E11" s="99" t="s">
        <v>44</v>
      </c>
      <c r="F11" s="100"/>
      <c r="G11" s="87" t="s">
        <v>50</v>
      </c>
      <c r="H11" s="28" t="str">
        <f>IF(WORKDAY(B11-1,1,공휴일!$B$4:$B$24)=B11,IF(WORKDAY(B11,1,공휴일!$B$4:$B$24)&lt;&gt;B11+1,"금요일","평일"),IF(WORKDAY(B11,1,공휴일!$B$4:$B$24)&lt;&gt;B11+1,"토요일","일요일"))</f>
        <v>평일</v>
      </c>
      <c r="I11" s="125" t="str">
        <f t="shared" si="1"/>
        <v>2026-07</v>
      </c>
      <c r="J11" s="93" t="str">
        <f t="shared" si="2"/>
        <v>구민아</v>
      </c>
      <c r="K11" s="93" t="str">
        <f t="shared" si="3"/>
        <v>오기희</v>
      </c>
      <c r="L11" s="16" t="str">
        <f t="shared" si="0"/>
        <v>월</v>
      </c>
      <c r="M11" s="17" t="str">
        <f>IFERROR(VLOOKUP(B11,공휴일!B:C,2,0),"")</f>
        <v/>
      </c>
    </row>
    <row r="12" spans="1:30" x14ac:dyDescent="0.3">
      <c r="B12" s="30">
        <v>46231</v>
      </c>
      <c r="C12" s="99" t="s">
        <v>10</v>
      </c>
      <c r="D12" s="100"/>
      <c r="E12" s="99" t="s">
        <v>19</v>
      </c>
      <c r="F12" s="100"/>
      <c r="G12" s="87"/>
      <c r="H12" s="28" t="str">
        <f>IF(WORKDAY(B12-1,1,공휴일!$B$4:$B$24)=B12,IF(WORKDAY(B12,1,공휴일!$B$4:$B$24)&lt;&gt;B12+1,"금요일","평일"),IF(WORKDAY(B12,1,공휴일!$B$4:$B$24)&lt;&gt;B12+1,"토요일","일요일"))</f>
        <v>평일</v>
      </c>
      <c r="I12" s="125" t="str">
        <f t="shared" si="1"/>
        <v>2026-07</v>
      </c>
      <c r="J12" s="93" t="str">
        <f t="shared" si="2"/>
        <v>유진수</v>
      </c>
      <c r="K12" s="93" t="str">
        <f t="shared" si="3"/>
        <v>우정수</v>
      </c>
      <c r="L12" s="16" t="str">
        <f t="shared" si="0"/>
        <v>화</v>
      </c>
      <c r="M12" s="17" t="str">
        <f>IFERROR(VLOOKUP(B12,공휴일!B:C,2,0),"")</f>
        <v/>
      </c>
    </row>
    <row r="13" spans="1:30" x14ac:dyDescent="0.3">
      <c r="B13" s="30">
        <v>46232</v>
      </c>
      <c r="C13" s="99" t="s">
        <v>16</v>
      </c>
      <c r="D13" s="100"/>
      <c r="E13" s="99" t="s">
        <v>20</v>
      </c>
      <c r="F13" s="100"/>
      <c r="G13" s="87"/>
      <c r="H13" s="28" t="str">
        <f>IF(WORKDAY(B13-1,1,공휴일!$B$4:$B$24)=B13,IF(WORKDAY(B13,1,공휴일!$B$4:$B$24)&lt;&gt;B13+1,"금요일","평일"),IF(WORKDAY(B13,1,공휴일!$B$4:$B$24)&lt;&gt;B13+1,"토요일","일요일"))</f>
        <v>평일</v>
      </c>
      <c r="I13" s="125" t="str">
        <f t="shared" si="1"/>
        <v>2026-07</v>
      </c>
      <c r="J13" s="93" t="str">
        <f t="shared" si="2"/>
        <v>이현숙</v>
      </c>
      <c r="K13" s="93" t="str">
        <f t="shared" si="3"/>
        <v>이원철</v>
      </c>
      <c r="L13" s="16" t="str">
        <f t="shared" si="0"/>
        <v>수</v>
      </c>
      <c r="M13" s="17" t="str">
        <f>IFERROR(VLOOKUP(B13,공휴일!B:C,2,0),"")</f>
        <v/>
      </c>
    </row>
    <row r="14" spans="1:30" x14ac:dyDescent="0.3">
      <c r="B14" s="30">
        <v>46233</v>
      </c>
      <c r="C14" s="99" t="s">
        <v>17</v>
      </c>
      <c r="D14" s="100"/>
      <c r="E14" s="99" t="s">
        <v>21</v>
      </c>
      <c r="F14" s="100" t="s">
        <v>22</v>
      </c>
      <c r="G14" s="87"/>
      <c r="H14" s="28" t="str">
        <f>IF(WORKDAY(B14-1,1,공휴일!$B$4:$B$24)=B14,IF(WORKDAY(B14,1,공휴일!$B$4:$B$24)&lt;&gt;B14+1,"금요일","평일"),IF(WORKDAY(B14,1,공휴일!$B$4:$B$24)&lt;&gt;B14+1,"토요일","일요일"))</f>
        <v>평일</v>
      </c>
      <c r="I14" s="125" t="str">
        <f t="shared" si="1"/>
        <v>2026-07</v>
      </c>
      <c r="J14" s="93" t="str">
        <f t="shared" si="2"/>
        <v>신혜원</v>
      </c>
      <c r="K14" s="93" t="str">
        <f t="shared" si="3"/>
        <v>서진호</v>
      </c>
      <c r="L14" s="16" t="str">
        <f t="shared" si="0"/>
        <v>목</v>
      </c>
      <c r="M14" s="17" t="str">
        <f>IFERROR(VLOOKUP(B14,공휴일!B:C,2,0),"")</f>
        <v/>
      </c>
    </row>
    <row r="15" spans="1:30" ht="18" thickBot="1" x14ac:dyDescent="0.35">
      <c r="B15" s="32">
        <v>46234</v>
      </c>
      <c r="C15" s="101" t="s">
        <v>10</v>
      </c>
      <c r="D15" s="102"/>
      <c r="E15" s="101" t="s">
        <v>22</v>
      </c>
      <c r="F15" s="102" t="s">
        <v>21</v>
      </c>
      <c r="G15" s="88"/>
      <c r="H15" s="28" t="str">
        <f>IF(WORKDAY(B15-1,1,공휴일!$B$4:$B$24)=B15,IF(WORKDAY(B15,1,공휴일!$B$4:$B$24)&lt;&gt;B15+1,"금요일","평일"),IF(WORKDAY(B15,1,공휴일!$B$4:$B$24)&lt;&gt;B15+1,"토요일","일요일"))</f>
        <v>금요일</v>
      </c>
      <c r="I15" s="125" t="str">
        <f t="shared" si="1"/>
        <v>2026-07</v>
      </c>
      <c r="J15" s="93" t="str">
        <f t="shared" si="2"/>
        <v>유진수</v>
      </c>
      <c r="K15" s="93" t="str">
        <f t="shared" si="3"/>
        <v>정찬웅</v>
      </c>
      <c r="L15" s="16" t="str">
        <f t="shared" si="0"/>
        <v>금</v>
      </c>
      <c r="M15" s="17" t="str">
        <f>IFERROR(VLOOKUP(B15,공휴일!B:C,2,0),"")</f>
        <v/>
      </c>
    </row>
    <row r="16" spans="1:30" x14ac:dyDescent="0.3">
      <c r="B16" s="30">
        <v>46235</v>
      </c>
      <c r="C16" s="105" t="s">
        <v>15</v>
      </c>
      <c r="D16" s="106"/>
      <c r="E16" s="105" t="s">
        <v>44</v>
      </c>
      <c r="F16" s="106"/>
      <c r="G16" s="87"/>
      <c r="H16" s="28" t="str">
        <f>IF(WORKDAY(B16-1,1,공휴일!$B$4:$B$24)=B16,IF(WORKDAY(B16,1,공휴일!$B$4:$B$24)&lt;&gt;B16+1,"금요일","평일"),IF(WORKDAY(B16,1,공휴일!$B$4:$B$24)&lt;&gt;B16+1,"토요일","일요일"))</f>
        <v>토요일</v>
      </c>
      <c r="I16" s="125" t="str">
        <f t="shared" si="1"/>
        <v>2026-08</v>
      </c>
      <c r="J16" s="93" t="str">
        <f t="shared" si="2"/>
        <v>구민아</v>
      </c>
      <c r="K16" s="93" t="str">
        <f t="shared" si="3"/>
        <v>오기희</v>
      </c>
      <c r="L16" s="16" t="str">
        <f t="shared" si="0"/>
        <v>토</v>
      </c>
      <c r="M16" s="17" t="str">
        <f>IFERROR(VLOOKUP(B16,공휴일!B:C,2,0),"")</f>
        <v/>
      </c>
    </row>
    <row r="17" spans="2:13" x14ac:dyDescent="0.3">
      <c r="B17" s="31">
        <v>46236</v>
      </c>
      <c r="C17" s="107" t="s">
        <v>14</v>
      </c>
      <c r="D17" s="108"/>
      <c r="E17" s="107" t="s">
        <v>18</v>
      </c>
      <c r="F17" s="108"/>
      <c r="G17" s="89"/>
      <c r="H17" s="28" t="str">
        <f>IF(WORKDAY(B17-1,1,공휴일!$B$4:$B$24)=B17,IF(WORKDAY(B17,1,공휴일!$B$4:$B$24)&lt;&gt;B17+1,"금요일","평일"),IF(WORKDAY(B17,1,공휴일!$B$4:$B$24)&lt;&gt;B17+1,"토요일","일요일"))</f>
        <v>일요일</v>
      </c>
      <c r="I17" s="125" t="str">
        <f t="shared" si="1"/>
        <v>2026-08</v>
      </c>
      <c r="J17" s="93" t="str">
        <f t="shared" si="2"/>
        <v>고석규</v>
      </c>
      <c r="K17" s="93" t="str">
        <f t="shared" si="3"/>
        <v>이승현</v>
      </c>
      <c r="L17" s="16" t="str">
        <f t="shared" si="0"/>
        <v>일</v>
      </c>
      <c r="M17" s="17" t="str">
        <f>IFERROR(VLOOKUP(B17,공휴일!B:C,2,0),"")</f>
        <v/>
      </c>
    </row>
    <row r="18" spans="2:13" x14ac:dyDescent="0.3">
      <c r="B18" s="31">
        <v>46237</v>
      </c>
      <c r="C18" s="107" t="s">
        <v>12</v>
      </c>
      <c r="D18" s="108"/>
      <c r="E18" s="107" t="s">
        <v>10</v>
      </c>
      <c r="F18" s="108"/>
      <c r="G18" s="89"/>
      <c r="H18" s="28" t="str">
        <f>IF(WORKDAY(B18-1,1,공휴일!$B$4:$B$24)=B18,IF(WORKDAY(B18,1,공휴일!$B$4:$B$24)&lt;&gt;B18+1,"금요일","평일"),IF(WORKDAY(B18,1,공휴일!$B$4:$B$24)&lt;&gt;B18+1,"토요일","일요일"))</f>
        <v>평일</v>
      </c>
      <c r="I18" s="125" t="str">
        <f t="shared" si="1"/>
        <v>2026-08</v>
      </c>
      <c r="J18" s="93" t="str">
        <f t="shared" si="2"/>
        <v>한문영</v>
      </c>
      <c r="K18" s="93" t="str">
        <f t="shared" si="3"/>
        <v>유진수</v>
      </c>
      <c r="L18" s="16" t="str">
        <f t="shared" si="0"/>
        <v>월</v>
      </c>
      <c r="M18" s="17" t="str">
        <f>IFERROR(VLOOKUP(B18,공휴일!B:C,2,0),"")</f>
        <v/>
      </c>
    </row>
    <row r="19" spans="2:13" x14ac:dyDescent="0.3">
      <c r="B19" s="31">
        <v>46238</v>
      </c>
      <c r="C19" s="107" t="s">
        <v>16</v>
      </c>
      <c r="D19" s="108"/>
      <c r="E19" s="107" t="s">
        <v>20</v>
      </c>
      <c r="F19" s="108"/>
      <c r="G19" s="89"/>
      <c r="H19" s="28" t="str">
        <f>IF(WORKDAY(B19-1,1,공휴일!$B$4:$B$24)=B19,IF(WORKDAY(B19,1,공휴일!$B$4:$B$24)&lt;&gt;B19+1,"금요일","평일"),IF(WORKDAY(B19,1,공휴일!$B$4:$B$24)&lt;&gt;B19+1,"토요일","일요일"))</f>
        <v>평일</v>
      </c>
      <c r="I19" s="125" t="str">
        <f t="shared" si="1"/>
        <v>2026-08</v>
      </c>
      <c r="J19" s="93" t="str">
        <f t="shared" si="2"/>
        <v>이현숙</v>
      </c>
      <c r="K19" s="93" t="str">
        <f t="shared" si="3"/>
        <v>이원철</v>
      </c>
      <c r="L19" s="16" t="str">
        <f t="shared" si="0"/>
        <v>화</v>
      </c>
      <c r="M19" s="17" t="str">
        <f>IFERROR(VLOOKUP(B19,공휴일!B:C,2,0),"")</f>
        <v/>
      </c>
    </row>
    <row r="20" spans="2:13" x14ac:dyDescent="0.3">
      <c r="B20" s="31">
        <v>46239</v>
      </c>
      <c r="C20" s="107" t="s">
        <v>13</v>
      </c>
      <c r="D20" s="108"/>
      <c r="E20" s="107" t="s">
        <v>21</v>
      </c>
      <c r="F20" s="108"/>
      <c r="G20" s="89"/>
      <c r="H20" s="28" t="str">
        <f>IF(WORKDAY(B20-1,1,공휴일!$B$4:$B$24)=B20,IF(WORKDAY(B20,1,공휴일!$B$4:$B$24)&lt;&gt;B20+1,"금요일","평일"),IF(WORKDAY(B20,1,공휴일!$B$4:$B$24)&lt;&gt;B20+1,"토요일","일요일"))</f>
        <v>평일</v>
      </c>
      <c r="I20" s="125" t="str">
        <f t="shared" si="1"/>
        <v>2026-08</v>
      </c>
      <c r="J20" s="93" t="str">
        <f t="shared" si="2"/>
        <v>안지영</v>
      </c>
      <c r="K20" s="93" t="str">
        <f t="shared" si="3"/>
        <v>정찬웅</v>
      </c>
      <c r="L20" s="16" t="str">
        <f t="shared" si="0"/>
        <v>수</v>
      </c>
      <c r="M20" s="17" t="str">
        <f>IFERROR(VLOOKUP(B20,공휴일!B:C,2,0),"")</f>
        <v/>
      </c>
    </row>
    <row r="21" spans="2:13" x14ac:dyDescent="0.3">
      <c r="B21" s="31">
        <v>46240</v>
      </c>
      <c r="C21" s="107" t="s">
        <v>41</v>
      </c>
      <c r="D21" s="108"/>
      <c r="E21" s="107" t="s">
        <v>22</v>
      </c>
      <c r="F21" s="108"/>
      <c r="G21" s="89"/>
      <c r="H21" s="28" t="str">
        <f>IF(WORKDAY(B21-1,1,공휴일!$B$4:$B$24)=B21,IF(WORKDAY(B21,1,공휴일!$B$4:$B$24)&lt;&gt;B21+1,"금요일","평일"),IF(WORKDAY(B21,1,공휴일!$B$4:$B$24)&lt;&gt;B21+1,"토요일","일요일"))</f>
        <v>평일</v>
      </c>
      <c r="I21" s="125" t="str">
        <f t="shared" si="1"/>
        <v>2026-08</v>
      </c>
      <c r="J21" s="93" t="str">
        <f t="shared" si="2"/>
        <v>송남철</v>
      </c>
      <c r="K21" s="93" t="str">
        <f t="shared" si="3"/>
        <v>서진호</v>
      </c>
      <c r="L21" s="16" t="str">
        <f t="shared" si="0"/>
        <v>목</v>
      </c>
      <c r="M21" s="17" t="str">
        <f>IFERROR(VLOOKUP(B21,공휴일!B:C,2,0),"")</f>
        <v/>
      </c>
    </row>
    <row r="22" spans="2:13" x14ac:dyDescent="0.3">
      <c r="B22" s="31">
        <v>46241</v>
      </c>
      <c r="C22" s="107" t="s">
        <v>17</v>
      </c>
      <c r="D22" s="108"/>
      <c r="E22" s="107" t="s">
        <v>11</v>
      </c>
      <c r="F22" s="108"/>
      <c r="G22" s="89"/>
      <c r="H22" s="28" t="str">
        <f>IF(WORKDAY(B22-1,1,공휴일!$B$4:$B$24)=B22,IF(WORKDAY(B22,1,공휴일!$B$4:$B$24)&lt;&gt;B22+1,"금요일","평일"),IF(WORKDAY(B22,1,공휴일!$B$4:$B$24)&lt;&gt;B22+1,"토요일","일요일"))</f>
        <v>금요일</v>
      </c>
      <c r="I22" s="125" t="str">
        <f t="shared" si="1"/>
        <v>2026-08</v>
      </c>
      <c r="J22" s="93" t="str">
        <f t="shared" si="2"/>
        <v>신혜원</v>
      </c>
      <c r="K22" s="93" t="str">
        <f t="shared" si="3"/>
        <v>장민우</v>
      </c>
      <c r="L22" s="16" t="str">
        <f t="shared" si="0"/>
        <v>금</v>
      </c>
      <c r="M22" s="17" t="str">
        <f>IFERROR(VLOOKUP(B22,공휴일!B:C,2,0),"")</f>
        <v/>
      </c>
    </row>
    <row r="23" spans="2:13" x14ac:dyDescent="0.3">
      <c r="B23" s="31">
        <v>46242</v>
      </c>
      <c r="C23" s="107" t="s">
        <v>40</v>
      </c>
      <c r="D23" s="108"/>
      <c r="E23" s="107" t="s">
        <v>19</v>
      </c>
      <c r="F23" s="108" t="s">
        <v>18</v>
      </c>
      <c r="G23" s="89"/>
      <c r="H23" s="28" t="str">
        <f>IF(WORKDAY(B23-1,1,공휴일!$B$4:$B$24)=B23,IF(WORKDAY(B23,1,공휴일!$B$4:$B$24)&lt;&gt;B23+1,"금요일","평일"),IF(WORKDAY(B23,1,공휴일!$B$4:$B$24)&lt;&gt;B23+1,"토요일","일요일"))</f>
        <v>토요일</v>
      </c>
      <c r="I23" s="125" t="str">
        <f t="shared" si="1"/>
        <v>2026-08</v>
      </c>
      <c r="J23" s="93" t="str">
        <f t="shared" si="2"/>
        <v>여철호</v>
      </c>
      <c r="K23" s="93" t="str">
        <f t="shared" si="3"/>
        <v>이승현</v>
      </c>
      <c r="L23" s="16" t="str">
        <f t="shared" si="0"/>
        <v>토</v>
      </c>
      <c r="M23" s="17" t="str">
        <f>IFERROR(VLOOKUP(B23,공휴일!B:C,2,0),"")</f>
        <v/>
      </c>
    </row>
    <row r="24" spans="2:13" x14ac:dyDescent="0.3">
      <c r="B24" s="31">
        <v>46243</v>
      </c>
      <c r="C24" s="107" t="s">
        <v>15</v>
      </c>
      <c r="D24" s="108"/>
      <c r="E24" s="107" t="s">
        <v>44</v>
      </c>
      <c r="F24" s="108"/>
      <c r="G24" s="89"/>
      <c r="H24" s="28" t="str">
        <f>IF(WORKDAY(B24-1,1,공휴일!$B$4:$B$24)=B24,IF(WORKDAY(B24,1,공휴일!$B$4:$B$24)&lt;&gt;B24+1,"금요일","평일"),IF(WORKDAY(B24,1,공휴일!$B$4:$B$24)&lt;&gt;B24+1,"토요일","일요일"))</f>
        <v>일요일</v>
      </c>
      <c r="I24" s="125" t="str">
        <f t="shared" si="1"/>
        <v>2026-08</v>
      </c>
      <c r="J24" s="93" t="str">
        <f t="shared" si="2"/>
        <v>구민아</v>
      </c>
      <c r="K24" s="93" t="str">
        <f t="shared" si="3"/>
        <v>오기희</v>
      </c>
      <c r="L24" s="16" t="str">
        <f t="shared" si="0"/>
        <v>일</v>
      </c>
      <c r="M24" s="17" t="str">
        <f>IFERROR(VLOOKUP(B24,공휴일!B:C,2,0),"")</f>
        <v/>
      </c>
    </row>
    <row r="25" spans="2:13" x14ac:dyDescent="0.3">
      <c r="B25" s="31">
        <v>46244</v>
      </c>
      <c r="C25" s="107" t="s">
        <v>14</v>
      </c>
      <c r="D25" s="108"/>
      <c r="E25" s="107" t="s">
        <v>18</v>
      </c>
      <c r="F25" s="108" t="s">
        <v>19</v>
      </c>
      <c r="G25" s="89"/>
      <c r="H25" s="28" t="str">
        <f>IF(WORKDAY(B25-1,1,공휴일!$B$4:$B$24)=B25,IF(WORKDAY(B25,1,공휴일!$B$4:$B$24)&lt;&gt;B25+1,"금요일","평일"),IF(WORKDAY(B25,1,공휴일!$B$4:$B$24)&lt;&gt;B25+1,"토요일","일요일"))</f>
        <v>평일</v>
      </c>
      <c r="I25" s="125" t="str">
        <f t="shared" si="1"/>
        <v>2026-08</v>
      </c>
      <c r="J25" s="93" t="str">
        <f t="shared" si="2"/>
        <v>고석규</v>
      </c>
      <c r="K25" s="93" t="str">
        <f t="shared" si="3"/>
        <v>우정수</v>
      </c>
      <c r="L25" s="16" t="str">
        <f t="shared" si="0"/>
        <v>월</v>
      </c>
      <c r="M25" s="17" t="str">
        <f>IFERROR(VLOOKUP(B25,공휴일!B:C,2,0),"")</f>
        <v/>
      </c>
    </row>
    <row r="26" spans="2:13" x14ac:dyDescent="0.3">
      <c r="B26" s="31">
        <v>46245</v>
      </c>
      <c r="C26" s="107" t="s">
        <v>12</v>
      </c>
      <c r="D26" s="108"/>
      <c r="E26" s="107" t="s">
        <v>10</v>
      </c>
      <c r="F26" s="108"/>
      <c r="G26" s="89"/>
      <c r="H26" s="28" t="str">
        <f>IF(WORKDAY(B26-1,1,공휴일!$B$4:$B$24)=B26,IF(WORKDAY(B26,1,공휴일!$B$4:$B$24)&lt;&gt;B26+1,"금요일","평일"),IF(WORKDAY(B26,1,공휴일!$B$4:$B$24)&lt;&gt;B26+1,"토요일","일요일"))</f>
        <v>평일</v>
      </c>
      <c r="I26" s="125" t="str">
        <f t="shared" si="1"/>
        <v>2026-08</v>
      </c>
      <c r="J26" s="93" t="str">
        <f t="shared" si="2"/>
        <v>한문영</v>
      </c>
      <c r="K26" s="93" t="str">
        <f t="shared" si="3"/>
        <v>유진수</v>
      </c>
      <c r="L26" s="16" t="str">
        <f t="shared" si="0"/>
        <v>화</v>
      </c>
      <c r="M26" s="17" t="str">
        <f>IFERROR(VLOOKUP(B26,공휴일!B:C,2,0),"")</f>
        <v/>
      </c>
    </row>
    <row r="27" spans="2:13" x14ac:dyDescent="0.3">
      <c r="B27" s="31">
        <v>46246</v>
      </c>
      <c r="C27" s="107" t="s">
        <v>16</v>
      </c>
      <c r="D27" s="108"/>
      <c r="E27" s="107" t="s">
        <v>20</v>
      </c>
      <c r="F27" s="108"/>
      <c r="G27" s="89"/>
      <c r="H27" s="28" t="str">
        <f>IF(WORKDAY(B27-1,1,공휴일!$B$4:$B$24)=B27,IF(WORKDAY(B27,1,공휴일!$B$4:$B$24)&lt;&gt;B27+1,"금요일","평일"),IF(WORKDAY(B27,1,공휴일!$B$4:$B$24)&lt;&gt;B27+1,"토요일","일요일"))</f>
        <v>평일</v>
      </c>
      <c r="I27" s="125" t="str">
        <f t="shared" si="1"/>
        <v>2026-08</v>
      </c>
      <c r="J27" s="93" t="str">
        <f t="shared" si="2"/>
        <v>이현숙</v>
      </c>
      <c r="K27" s="93" t="str">
        <f t="shared" si="3"/>
        <v>이원철</v>
      </c>
      <c r="L27" s="16" t="str">
        <f t="shared" si="0"/>
        <v>수</v>
      </c>
      <c r="M27" s="17" t="str">
        <f>IFERROR(VLOOKUP(B27,공휴일!B:C,2,0),"")</f>
        <v/>
      </c>
    </row>
    <row r="28" spans="2:13" x14ac:dyDescent="0.3">
      <c r="B28" s="31">
        <v>46247</v>
      </c>
      <c r="C28" s="107" t="s">
        <v>13</v>
      </c>
      <c r="D28" s="108" t="s">
        <v>41</v>
      </c>
      <c r="E28" s="107" t="s">
        <v>21</v>
      </c>
      <c r="F28" s="108"/>
      <c r="G28" s="89"/>
      <c r="H28" s="28" t="str">
        <f>IF(WORKDAY(B28-1,1,공휴일!$B$4:$B$24)=B28,IF(WORKDAY(B28,1,공휴일!$B$4:$B$24)&lt;&gt;B28+1,"금요일","평일"),IF(WORKDAY(B28,1,공휴일!$B$4:$B$24)&lt;&gt;B28+1,"토요일","일요일"))</f>
        <v>평일</v>
      </c>
      <c r="I28" s="125" t="str">
        <f t="shared" si="1"/>
        <v>2026-08</v>
      </c>
      <c r="J28" s="93" t="str">
        <f t="shared" si="2"/>
        <v>송남철</v>
      </c>
      <c r="K28" s="93" t="str">
        <f t="shared" si="3"/>
        <v>정찬웅</v>
      </c>
      <c r="L28" s="16" t="str">
        <f t="shared" si="0"/>
        <v>목</v>
      </c>
      <c r="M28" s="17" t="str">
        <f>IFERROR(VLOOKUP(B28,공휴일!B:C,2,0),"")</f>
        <v/>
      </c>
    </row>
    <row r="29" spans="2:13" x14ac:dyDescent="0.3">
      <c r="B29" s="31">
        <v>46248</v>
      </c>
      <c r="C29" s="107" t="s">
        <v>41</v>
      </c>
      <c r="D29" s="108" t="s">
        <v>13</v>
      </c>
      <c r="E29" s="107" t="s">
        <v>22</v>
      </c>
      <c r="F29" s="108"/>
      <c r="G29" s="89"/>
      <c r="H29" s="28" t="str">
        <f>IF(WORKDAY(B29-1,1,공휴일!$B$4:$B$24)=B29,IF(WORKDAY(B29,1,공휴일!$B$4:$B$24)&lt;&gt;B29+1,"금요일","평일"),IF(WORKDAY(B29,1,공휴일!$B$4:$B$24)&lt;&gt;B29+1,"토요일","일요일"))</f>
        <v>금요일</v>
      </c>
      <c r="I29" s="125" t="str">
        <f t="shared" si="1"/>
        <v>2026-08</v>
      </c>
      <c r="J29" s="93" t="str">
        <f t="shared" si="2"/>
        <v>안지영</v>
      </c>
      <c r="K29" s="93" t="str">
        <f t="shared" si="3"/>
        <v>서진호</v>
      </c>
      <c r="L29" s="16" t="str">
        <f t="shared" si="0"/>
        <v>금</v>
      </c>
      <c r="M29" s="17" t="str">
        <f>IFERROR(VLOOKUP(B29,공휴일!B:C,2,0),"")</f>
        <v/>
      </c>
    </row>
    <row r="30" spans="2:13" x14ac:dyDescent="0.3">
      <c r="B30" s="31">
        <v>46249</v>
      </c>
      <c r="C30" s="107" t="s">
        <v>17</v>
      </c>
      <c r="D30" s="108"/>
      <c r="E30" s="107" t="s">
        <v>11</v>
      </c>
      <c r="F30" s="108"/>
      <c r="G30" s="89"/>
      <c r="H30" s="28" t="str">
        <f>IF(WORKDAY(B30-1,1,공휴일!$B$4:$B$24)=B30,IF(WORKDAY(B30,1,공휴일!$B$4:$B$24)&lt;&gt;B30+1,"금요일","평일"),IF(WORKDAY(B30,1,공휴일!$B$4:$B$24)&lt;&gt;B30+1,"토요일","일요일"))</f>
        <v>토요일</v>
      </c>
      <c r="I30" s="125" t="str">
        <f t="shared" si="1"/>
        <v>2026-08</v>
      </c>
      <c r="J30" s="93" t="str">
        <f t="shared" si="2"/>
        <v>신혜원</v>
      </c>
      <c r="K30" s="93" t="str">
        <f t="shared" si="3"/>
        <v>장민우</v>
      </c>
      <c r="L30" s="16" t="str">
        <f t="shared" si="0"/>
        <v>토</v>
      </c>
      <c r="M30" s="17" t="str">
        <f>IFERROR(VLOOKUP(B30,공휴일!B:C,2,0),"")</f>
        <v>광복절</v>
      </c>
    </row>
    <row r="31" spans="2:13" x14ac:dyDescent="0.3">
      <c r="B31" s="31">
        <v>46250</v>
      </c>
      <c r="C31" s="107" t="s">
        <v>40</v>
      </c>
      <c r="D31" s="108"/>
      <c r="E31" s="107" t="s">
        <v>19</v>
      </c>
      <c r="F31" s="108" t="s">
        <v>15</v>
      </c>
      <c r="G31" s="89"/>
      <c r="H31" s="28" t="str">
        <f>IF(WORKDAY(B31-1,1,공휴일!$B$4:$B$24)=B31,IF(WORKDAY(B31,1,공휴일!$B$4:$B$24)&lt;&gt;B31+1,"금요일","평일"),IF(WORKDAY(B31,1,공휴일!$B$4:$B$24)&lt;&gt;B31+1,"토요일","일요일"))</f>
        <v>토요일</v>
      </c>
      <c r="I31" s="125" t="str">
        <f t="shared" si="1"/>
        <v>2026-08</v>
      </c>
      <c r="J31" s="93" t="str">
        <f t="shared" si="2"/>
        <v>여철호</v>
      </c>
      <c r="K31" s="93" t="str">
        <f t="shared" si="3"/>
        <v>구민아</v>
      </c>
      <c r="L31" s="16" t="str">
        <f t="shared" si="0"/>
        <v>일</v>
      </c>
      <c r="M31" s="17" t="str">
        <f>IFERROR(VLOOKUP(B31,공휴일!B:C,2,0),"")</f>
        <v/>
      </c>
    </row>
    <row r="32" spans="2:13" x14ac:dyDescent="0.3">
      <c r="B32" s="31">
        <v>46251</v>
      </c>
      <c r="C32" s="107" t="s">
        <v>15</v>
      </c>
      <c r="D32" s="108" t="s">
        <v>19</v>
      </c>
      <c r="E32" s="107" t="s">
        <v>44</v>
      </c>
      <c r="F32" s="108"/>
      <c r="G32" s="89"/>
      <c r="H32" s="28" t="str">
        <f>IF(WORKDAY(B32-1,1,공휴일!$B$4:$B$24)=B32,IF(WORKDAY(B32,1,공휴일!$B$4:$B$24)&lt;&gt;B32+1,"금요일","평일"),IF(WORKDAY(B32,1,공휴일!$B$4:$B$24)&lt;&gt;B32+1,"토요일","일요일"))</f>
        <v>일요일</v>
      </c>
      <c r="I32" s="125" t="str">
        <f t="shared" si="1"/>
        <v>2026-08</v>
      </c>
      <c r="J32" s="93" t="str">
        <f t="shared" si="2"/>
        <v>우정수</v>
      </c>
      <c r="K32" s="93" t="str">
        <f t="shared" si="3"/>
        <v>오기희</v>
      </c>
      <c r="L32" s="16" t="str">
        <f t="shared" si="0"/>
        <v>월</v>
      </c>
      <c r="M32" s="17" t="str">
        <f>IFERROR(VLOOKUP(B32,공휴일!B:C,2,0),"")</f>
        <v>대체공휴일</v>
      </c>
    </row>
    <row r="33" spans="2:13" x14ac:dyDescent="0.3">
      <c r="B33" s="31">
        <v>46252</v>
      </c>
      <c r="C33" s="107" t="s">
        <v>14</v>
      </c>
      <c r="D33" s="108"/>
      <c r="E33" s="107" t="s">
        <v>18</v>
      </c>
      <c r="F33" s="108" t="s">
        <v>21</v>
      </c>
      <c r="G33" s="89" t="s">
        <v>149</v>
      </c>
      <c r="H33" s="28" t="str">
        <f>IF(WORKDAY(B33-1,1,공휴일!$B$4:$B$24)=B33,IF(WORKDAY(B33,1,공휴일!$B$4:$B$24)&lt;&gt;B33+1,"금요일","평일"),IF(WORKDAY(B33,1,공휴일!$B$4:$B$24)&lt;&gt;B33+1,"토요일","일요일"))</f>
        <v>평일</v>
      </c>
      <c r="I33" s="125" t="str">
        <f t="shared" si="1"/>
        <v>2026-08</v>
      </c>
      <c r="J33" s="93" t="str">
        <f t="shared" si="2"/>
        <v>고석규</v>
      </c>
      <c r="K33" s="93" t="str">
        <f t="shared" si="3"/>
        <v>정찬웅</v>
      </c>
      <c r="L33" s="16" t="str">
        <f t="shared" si="0"/>
        <v>화</v>
      </c>
      <c r="M33" s="17" t="str">
        <f>IFERROR(VLOOKUP(B33,공휴일!B:C,2,0),"")</f>
        <v/>
      </c>
    </row>
    <row r="34" spans="2:13" x14ac:dyDescent="0.3">
      <c r="B34" s="31">
        <v>46253</v>
      </c>
      <c r="C34" s="107" t="s">
        <v>12</v>
      </c>
      <c r="D34" s="108"/>
      <c r="E34" s="107" t="s">
        <v>10</v>
      </c>
      <c r="F34" s="108"/>
      <c r="G34" s="89" t="s">
        <v>149</v>
      </c>
      <c r="H34" s="28" t="str">
        <f>IF(WORKDAY(B34-1,1,공휴일!$B$4:$B$24)=B34,IF(WORKDAY(B34,1,공휴일!$B$4:$B$24)&lt;&gt;B34+1,"금요일","평일"),IF(WORKDAY(B34,1,공휴일!$B$4:$B$24)&lt;&gt;B34+1,"토요일","일요일"))</f>
        <v>평일</v>
      </c>
      <c r="I34" s="125" t="str">
        <f t="shared" si="1"/>
        <v>2026-08</v>
      </c>
      <c r="J34" s="93" t="str">
        <f t="shared" si="2"/>
        <v>한문영</v>
      </c>
      <c r="K34" s="93" t="str">
        <f t="shared" si="3"/>
        <v>유진수</v>
      </c>
      <c r="L34" s="16" t="str">
        <f t="shared" si="0"/>
        <v>수</v>
      </c>
      <c r="M34" s="17" t="str">
        <f>IFERROR(VLOOKUP(B34,공휴일!B:C,2,0),"")</f>
        <v/>
      </c>
    </row>
    <row r="35" spans="2:13" x14ac:dyDescent="0.3">
      <c r="B35" s="31">
        <v>46254</v>
      </c>
      <c r="C35" s="107" t="s">
        <v>16</v>
      </c>
      <c r="D35" s="108"/>
      <c r="E35" s="107" t="s">
        <v>20</v>
      </c>
      <c r="F35" s="108"/>
      <c r="G35" s="89" t="s">
        <v>149</v>
      </c>
      <c r="H35" s="28" t="str">
        <f>IF(WORKDAY(B35-1,1,공휴일!$B$4:$B$24)=B35,IF(WORKDAY(B35,1,공휴일!$B$4:$B$24)&lt;&gt;B35+1,"금요일","평일"),IF(WORKDAY(B35,1,공휴일!$B$4:$B$24)&lt;&gt;B35+1,"토요일","일요일"))</f>
        <v>평일</v>
      </c>
      <c r="I35" s="125" t="str">
        <f t="shared" si="1"/>
        <v>2026-08</v>
      </c>
      <c r="J35" s="93" t="str">
        <f t="shared" si="2"/>
        <v>이현숙</v>
      </c>
      <c r="K35" s="93" t="str">
        <f t="shared" si="3"/>
        <v>이원철</v>
      </c>
      <c r="L35" s="16" t="str">
        <f t="shared" si="0"/>
        <v>목</v>
      </c>
      <c r="M35" s="17" t="str">
        <f>IFERROR(VLOOKUP(B35,공휴일!B:C,2,0),"")</f>
        <v/>
      </c>
    </row>
    <row r="36" spans="2:13" x14ac:dyDescent="0.3">
      <c r="B36" s="31">
        <v>46255</v>
      </c>
      <c r="C36" s="107" t="s">
        <v>13</v>
      </c>
      <c r="D36" s="108" t="s">
        <v>41</v>
      </c>
      <c r="E36" s="107" t="s">
        <v>21</v>
      </c>
      <c r="F36" s="108" t="s">
        <v>18</v>
      </c>
      <c r="G36" s="89" t="s">
        <v>149</v>
      </c>
      <c r="H36" s="28" t="str">
        <f>IF(WORKDAY(B36-1,1,공휴일!$B$4:$B$24)=B36,IF(WORKDAY(B36,1,공휴일!$B$4:$B$24)&lt;&gt;B36+1,"금요일","평일"),IF(WORKDAY(B36,1,공휴일!$B$4:$B$24)&lt;&gt;B36+1,"토요일","일요일"))</f>
        <v>금요일</v>
      </c>
      <c r="I36" s="125" t="str">
        <f t="shared" si="1"/>
        <v>2026-08</v>
      </c>
      <c r="J36" s="93" t="str">
        <f t="shared" si="2"/>
        <v>송남철</v>
      </c>
      <c r="K36" s="93" t="str">
        <f t="shared" si="3"/>
        <v>이승현</v>
      </c>
      <c r="L36" s="16" t="str">
        <f t="shared" si="0"/>
        <v>금</v>
      </c>
      <c r="M36" s="17" t="str">
        <f>IFERROR(VLOOKUP(B36,공휴일!B:C,2,0),"")</f>
        <v/>
      </c>
    </row>
    <row r="37" spans="2:13" x14ac:dyDescent="0.3">
      <c r="B37" s="31">
        <v>46256</v>
      </c>
      <c r="C37" s="107" t="s">
        <v>41</v>
      </c>
      <c r="D37" s="108" t="s">
        <v>13</v>
      </c>
      <c r="E37" s="107" t="s">
        <v>22</v>
      </c>
      <c r="F37" s="108"/>
      <c r="G37" s="89"/>
      <c r="H37" s="28" t="str">
        <f>IF(WORKDAY(B37-1,1,공휴일!$B$4:$B$24)=B37,IF(WORKDAY(B37,1,공휴일!$B$4:$B$24)&lt;&gt;B37+1,"금요일","평일"),IF(WORKDAY(B37,1,공휴일!$B$4:$B$24)&lt;&gt;B37+1,"토요일","일요일"))</f>
        <v>토요일</v>
      </c>
      <c r="I37" s="125" t="str">
        <f t="shared" si="1"/>
        <v>2026-08</v>
      </c>
      <c r="J37" s="93" t="str">
        <f t="shared" si="2"/>
        <v>안지영</v>
      </c>
      <c r="K37" s="93" t="str">
        <f t="shared" si="3"/>
        <v>서진호</v>
      </c>
      <c r="L37" s="16" t="str">
        <f t="shared" ref="L37:L68" si="4">TEXT(B37,"aaa")</f>
        <v>토</v>
      </c>
      <c r="M37" s="17" t="str">
        <f>IFERROR(VLOOKUP(B37,공휴일!B:C,2,0),"")</f>
        <v/>
      </c>
    </row>
    <row r="38" spans="2:13" x14ac:dyDescent="0.3">
      <c r="B38" s="31">
        <v>46257</v>
      </c>
      <c r="C38" s="107" t="s">
        <v>17</v>
      </c>
      <c r="D38" s="108"/>
      <c r="E38" s="107" t="s">
        <v>11</v>
      </c>
      <c r="F38" s="108" t="s">
        <v>10</v>
      </c>
      <c r="G38" s="89"/>
      <c r="H38" s="28" t="str">
        <f>IF(WORKDAY(B38-1,1,공휴일!$B$4:$B$24)=B38,IF(WORKDAY(B38,1,공휴일!$B$4:$B$24)&lt;&gt;B38+1,"금요일","평일"),IF(WORKDAY(B38,1,공휴일!$B$4:$B$24)&lt;&gt;B38+1,"토요일","일요일"))</f>
        <v>일요일</v>
      </c>
      <c r="I38" s="125" t="str">
        <f t="shared" si="1"/>
        <v>2026-08</v>
      </c>
      <c r="J38" s="93" t="str">
        <f t="shared" si="2"/>
        <v>신혜원</v>
      </c>
      <c r="K38" s="93" t="str">
        <f t="shared" si="3"/>
        <v>유진수</v>
      </c>
      <c r="L38" s="16" t="str">
        <f t="shared" si="4"/>
        <v>일</v>
      </c>
      <c r="M38" s="17" t="str">
        <f>IFERROR(VLOOKUP(B38,공휴일!B:C,2,0),"")</f>
        <v/>
      </c>
    </row>
    <row r="39" spans="2:13" x14ac:dyDescent="0.3">
      <c r="B39" s="31">
        <v>46258</v>
      </c>
      <c r="C39" s="107" t="s">
        <v>40</v>
      </c>
      <c r="D39" s="108"/>
      <c r="E39" s="107" t="s">
        <v>19</v>
      </c>
      <c r="F39" s="108" t="s">
        <v>15</v>
      </c>
      <c r="G39" s="89"/>
      <c r="H39" s="28" t="str">
        <f>IF(WORKDAY(B39-1,1,공휴일!$B$4:$B$24)=B39,IF(WORKDAY(B39,1,공휴일!$B$4:$B$24)&lt;&gt;B39+1,"금요일","평일"),IF(WORKDAY(B39,1,공휴일!$B$4:$B$24)&lt;&gt;B39+1,"토요일","일요일"))</f>
        <v>평일</v>
      </c>
      <c r="I39" s="125" t="str">
        <f t="shared" si="1"/>
        <v>2026-08</v>
      </c>
      <c r="J39" s="93" t="str">
        <f t="shared" si="2"/>
        <v>여철호</v>
      </c>
      <c r="K39" s="93" t="str">
        <f t="shared" si="3"/>
        <v>구민아</v>
      </c>
      <c r="L39" s="16" t="str">
        <f t="shared" si="4"/>
        <v>월</v>
      </c>
      <c r="M39" s="17" t="str">
        <f>IFERROR(VLOOKUP(B39,공휴일!B:C,2,0),"")</f>
        <v/>
      </c>
    </row>
    <row r="40" spans="2:13" x14ac:dyDescent="0.3">
      <c r="B40" s="31">
        <v>46259</v>
      </c>
      <c r="C40" s="107" t="s">
        <v>15</v>
      </c>
      <c r="D40" s="108" t="s">
        <v>19</v>
      </c>
      <c r="E40" s="107" t="s">
        <v>44</v>
      </c>
      <c r="F40" s="108"/>
      <c r="G40" s="89"/>
      <c r="H40" s="28" t="str">
        <f>IF(WORKDAY(B40-1,1,공휴일!$B$4:$B$24)=B40,IF(WORKDAY(B40,1,공휴일!$B$4:$B$24)&lt;&gt;B40+1,"금요일","평일"),IF(WORKDAY(B40,1,공휴일!$B$4:$B$24)&lt;&gt;B40+1,"토요일","일요일"))</f>
        <v>평일</v>
      </c>
      <c r="I40" s="125" t="str">
        <f t="shared" si="1"/>
        <v>2026-08</v>
      </c>
      <c r="J40" s="93" t="str">
        <f t="shared" si="2"/>
        <v>우정수</v>
      </c>
      <c r="K40" s="93" t="str">
        <f t="shared" si="3"/>
        <v>오기희</v>
      </c>
      <c r="L40" s="16" t="str">
        <f t="shared" si="4"/>
        <v>화</v>
      </c>
      <c r="M40" s="17" t="str">
        <f>IFERROR(VLOOKUP(B40,공휴일!B:C,2,0),"")</f>
        <v/>
      </c>
    </row>
    <row r="41" spans="2:13" x14ac:dyDescent="0.3">
      <c r="B41" s="31">
        <v>46260</v>
      </c>
      <c r="C41" s="107" t="s">
        <v>14</v>
      </c>
      <c r="D41" s="108"/>
      <c r="E41" s="107" t="s">
        <v>18</v>
      </c>
      <c r="F41" s="108"/>
      <c r="G41" s="89"/>
      <c r="H41" s="28" t="str">
        <f>IF(WORKDAY(B41-1,1,공휴일!$B$4:$B$24)=B41,IF(WORKDAY(B41,1,공휴일!$B$4:$B$24)&lt;&gt;B41+1,"금요일","평일"),IF(WORKDAY(B41,1,공휴일!$B$4:$B$24)&lt;&gt;B41+1,"토요일","일요일"))</f>
        <v>평일</v>
      </c>
      <c r="I41" s="125" t="str">
        <f t="shared" si="1"/>
        <v>2026-08</v>
      </c>
      <c r="J41" s="93" t="str">
        <f t="shared" si="2"/>
        <v>고석규</v>
      </c>
      <c r="K41" s="93" t="str">
        <f t="shared" si="3"/>
        <v>이승현</v>
      </c>
      <c r="L41" s="16" t="str">
        <f t="shared" si="4"/>
        <v>수</v>
      </c>
      <c r="M41" s="17" t="str">
        <f>IFERROR(VLOOKUP(B41,공휴일!B:C,2,0),"")</f>
        <v/>
      </c>
    </row>
    <row r="42" spans="2:13" x14ac:dyDescent="0.3">
      <c r="B42" s="31">
        <v>46261</v>
      </c>
      <c r="C42" s="107" t="s">
        <v>12</v>
      </c>
      <c r="D42" s="108"/>
      <c r="E42" s="107" t="s">
        <v>10</v>
      </c>
      <c r="F42" s="108"/>
      <c r="G42" s="89"/>
      <c r="H42" s="28" t="str">
        <f>IF(WORKDAY(B42-1,1,공휴일!$B$4:$B$24)=B42,IF(WORKDAY(B42,1,공휴일!$B$4:$B$24)&lt;&gt;B42+1,"금요일","평일"),IF(WORKDAY(B42,1,공휴일!$B$4:$B$24)&lt;&gt;B42+1,"토요일","일요일"))</f>
        <v>평일</v>
      </c>
      <c r="I42" s="125" t="str">
        <f t="shared" si="1"/>
        <v>2026-08</v>
      </c>
      <c r="J42" s="93" t="str">
        <f t="shared" si="2"/>
        <v>한문영</v>
      </c>
      <c r="K42" s="93" t="str">
        <f t="shared" si="3"/>
        <v>유진수</v>
      </c>
      <c r="L42" s="16" t="str">
        <f t="shared" si="4"/>
        <v>목</v>
      </c>
      <c r="M42" s="17" t="str">
        <f>IFERROR(VLOOKUP(B42,공휴일!B:C,2,0),"")</f>
        <v/>
      </c>
    </row>
    <row r="43" spans="2:13" x14ac:dyDescent="0.3">
      <c r="B43" s="31">
        <v>46262</v>
      </c>
      <c r="C43" s="107" t="s">
        <v>16</v>
      </c>
      <c r="D43" s="108"/>
      <c r="E43" s="107" t="s">
        <v>20</v>
      </c>
      <c r="F43" s="108"/>
      <c r="G43" s="89"/>
      <c r="H43" s="28" t="str">
        <f>IF(WORKDAY(B43-1,1,공휴일!$B$4:$B$24)=B43,IF(WORKDAY(B43,1,공휴일!$B$4:$B$24)&lt;&gt;B43+1,"금요일","평일"),IF(WORKDAY(B43,1,공휴일!$B$4:$B$24)&lt;&gt;B43+1,"토요일","일요일"))</f>
        <v>금요일</v>
      </c>
      <c r="I43" s="125" t="str">
        <f t="shared" si="1"/>
        <v>2026-08</v>
      </c>
      <c r="J43" s="93" t="str">
        <f t="shared" si="2"/>
        <v>이현숙</v>
      </c>
      <c r="K43" s="93" t="str">
        <f t="shared" si="3"/>
        <v>이원철</v>
      </c>
      <c r="L43" s="16" t="str">
        <f t="shared" si="4"/>
        <v>금</v>
      </c>
      <c r="M43" s="17" t="str">
        <f>IFERROR(VLOOKUP(B43,공휴일!B:C,2,0),"")</f>
        <v/>
      </c>
    </row>
    <row r="44" spans="2:13" x14ac:dyDescent="0.3">
      <c r="B44" s="31">
        <v>46263</v>
      </c>
      <c r="C44" s="107" t="s">
        <v>13</v>
      </c>
      <c r="D44" s="108"/>
      <c r="E44" s="107" t="s">
        <v>21</v>
      </c>
      <c r="F44" s="108" t="s">
        <v>22</v>
      </c>
      <c r="G44" s="89"/>
      <c r="H44" s="28" t="str">
        <f>IF(WORKDAY(B44-1,1,공휴일!$B$4:$B$24)=B44,IF(WORKDAY(B44,1,공휴일!$B$4:$B$24)&lt;&gt;B44+1,"금요일","평일"),IF(WORKDAY(B44,1,공휴일!$B$4:$B$24)&lt;&gt;B44+1,"토요일","일요일"))</f>
        <v>토요일</v>
      </c>
      <c r="I44" s="125" t="str">
        <f t="shared" si="1"/>
        <v>2026-08</v>
      </c>
      <c r="J44" s="93" t="str">
        <f t="shared" si="2"/>
        <v>안지영</v>
      </c>
      <c r="K44" s="93" t="str">
        <f t="shared" si="3"/>
        <v>서진호</v>
      </c>
      <c r="L44" s="16" t="str">
        <f t="shared" si="4"/>
        <v>토</v>
      </c>
      <c r="M44" s="17" t="str">
        <f>IFERROR(VLOOKUP(B44,공휴일!B:C,2,0),"")</f>
        <v/>
      </c>
    </row>
    <row r="45" spans="2:13" x14ac:dyDescent="0.3">
      <c r="B45" s="31">
        <v>46264</v>
      </c>
      <c r="C45" s="107" t="s">
        <v>41</v>
      </c>
      <c r="D45" s="108"/>
      <c r="E45" s="107" t="s">
        <v>22</v>
      </c>
      <c r="F45" s="108" t="s">
        <v>21</v>
      </c>
      <c r="G45" s="89"/>
      <c r="H45" s="28" t="str">
        <f>IF(WORKDAY(B45-1,1,공휴일!$B$4:$B$24)=B45,IF(WORKDAY(B45,1,공휴일!$B$4:$B$24)&lt;&gt;B45+1,"금요일","평일"),IF(WORKDAY(B45,1,공휴일!$B$4:$B$24)&lt;&gt;B45+1,"토요일","일요일"))</f>
        <v>일요일</v>
      </c>
      <c r="I45" s="125" t="str">
        <f t="shared" si="1"/>
        <v>2026-08</v>
      </c>
      <c r="J45" s="93" t="str">
        <f t="shared" si="2"/>
        <v>송남철</v>
      </c>
      <c r="K45" s="93" t="str">
        <f t="shared" si="3"/>
        <v>정찬웅</v>
      </c>
      <c r="L45" s="16" t="str">
        <f t="shared" si="4"/>
        <v>일</v>
      </c>
      <c r="M45" s="17" t="str">
        <f>IFERROR(VLOOKUP(B45,공휴일!B:C,2,0),"")</f>
        <v/>
      </c>
    </row>
    <row r="46" spans="2:13" ht="18" thickBot="1" x14ac:dyDescent="0.35">
      <c r="B46" s="32">
        <v>46265</v>
      </c>
      <c r="C46" s="109" t="s">
        <v>17</v>
      </c>
      <c r="D46" s="110"/>
      <c r="E46" s="109" t="s">
        <v>11</v>
      </c>
      <c r="F46" s="110" t="s">
        <v>18</v>
      </c>
      <c r="G46" s="88"/>
      <c r="H46" s="28" t="str">
        <f>IF(WORKDAY(B46-1,1,공휴일!$B$4:$B$24)=B46,IF(WORKDAY(B46,1,공휴일!$B$4:$B$24)&lt;&gt;B46+1,"금요일","평일"),IF(WORKDAY(B46,1,공휴일!$B$4:$B$24)&lt;&gt;B46+1,"토요일","일요일"))</f>
        <v>평일</v>
      </c>
      <c r="I46" s="125" t="str">
        <f t="shared" si="1"/>
        <v>2026-08</v>
      </c>
      <c r="J46" s="93" t="str">
        <f t="shared" si="2"/>
        <v>신혜원</v>
      </c>
      <c r="K46" s="93" t="str">
        <f t="shared" si="3"/>
        <v>이승현</v>
      </c>
      <c r="L46" s="16" t="str">
        <f t="shared" si="4"/>
        <v>월</v>
      </c>
      <c r="M46" s="17" t="str">
        <f>IFERROR(VLOOKUP(B46,공휴일!B:C,2,0),"")</f>
        <v/>
      </c>
    </row>
    <row r="47" spans="2:13" x14ac:dyDescent="0.3">
      <c r="B47" s="30">
        <v>46266</v>
      </c>
      <c r="C47" s="111" t="s">
        <v>40</v>
      </c>
      <c r="D47" s="112"/>
      <c r="E47" s="111" t="s">
        <v>19</v>
      </c>
      <c r="F47" s="112"/>
      <c r="G47" s="87"/>
      <c r="H47" s="28" t="str">
        <f>IF(WORKDAY(B47-1,1,공휴일!$B$4:$B$24)=B47,IF(WORKDAY(B47,1,공휴일!$B$4:$B$24)&lt;&gt;B47+1,"금요일","평일"),IF(WORKDAY(B47,1,공휴일!$B$4:$B$24)&lt;&gt;B47+1,"토요일","일요일"))</f>
        <v>평일</v>
      </c>
      <c r="I47" s="125" t="str">
        <f t="shared" si="1"/>
        <v>2026-09</v>
      </c>
      <c r="J47" s="93" t="str">
        <f t="shared" si="2"/>
        <v>여철호</v>
      </c>
      <c r="K47" s="93" t="str">
        <f t="shared" si="3"/>
        <v>우정수</v>
      </c>
      <c r="L47" s="16" t="str">
        <f t="shared" si="4"/>
        <v>화</v>
      </c>
      <c r="M47" s="17" t="str">
        <f>IFERROR(VLOOKUP(B47,공휴일!B:C,2,0),"")</f>
        <v/>
      </c>
    </row>
    <row r="48" spans="2:13" x14ac:dyDescent="0.3">
      <c r="B48" s="31">
        <v>46267</v>
      </c>
      <c r="C48" s="113" t="s">
        <v>15</v>
      </c>
      <c r="D48" s="114"/>
      <c r="E48" s="113" t="s">
        <v>44</v>
      </c>
      <c r="F48" s="114"/>
      <c r="G48" s="89"/>
      <c r="H48" s="28" t="str">
        <f>IF(WORKDAY(B48-1,1,공휴일!$B$4:$B$24)=B48,IF(WORKDAY(B48,1,공휴일!$B$4:$B$24)&lt;&gt;B48+1,"금요일","평일"),IF(WORKDAY(B48,1,공휴일!$B$4:$B$24)&lt;&gt;B48+1,"토요일","일요일"))</f>
        <v>평일</v>
      </c>
      <c r="I48" s="125" t="str">
        <f t="shared" si="1"/>
        <v>2026-09</v>
      </c>
      <c r="J48" s="93" t="str">
        <f t="shared" si="2"/>
        <v>구민아</v>
      </c>
      <c r="K48" s="93" t="str">
        <f t="shared" si="3"/>
        <v>오기희</v>
      </c>
      <c r="L48" s="16" t="str">
        <f t="shared" si="4"/>
        <v>수</v>
      </c>
      <c r="M48" s="17" t="str">
        <f>IFERROR(VLOOKUP(B48,공휴일!B:C,2,0),"")</f>
        <v/>
      </c>
    </row>
    <row r="49" spans="2:13" x14ac:dyDescent="0.3">
      <c r="B49" s="31">
        <v>46268</v>
      </c>
      <c r="C49" s="113" t="s">
        <v>14</v>
      </c>
      <c r="D49" s="114"/>
      <c r="E49" s="113" t="s">
        <v>18</v>
      </c>
      <c r="F49" s="114" t="s">
        <v>12</v>
      </c>
      <c r="G49" s="89"/>
      <c r="H49" s="28" t="str">
        <f>IF(WORKDAY(B49-1,1,공휴일!$B$4:$B$24)=B49,IF(WORKDAY(B49,1,공휴일!$B$4:$B$24)&lt;&gt;B49+1,"금요일","평일"),IF(WORKDAY(B49,1,공휴일!$B$4:$B$24)&lt;&gt;B49+1,"토요일","일요일"))</f>
        <v>평일</v>
      </c>
      <c r="I49" s="125" t="str">
        <f t="shared" si="1"/>
        <v>2026-09</v>
      </c>
      <c r="J49" s="93" t="str">
        <f t="shared" si="2"/>
        <v>고석규</v>
      </c>
      <c r="K49" s="93" t="str">
        <f t="shared" si="3"/>
        <v>한문영</v>
      </c>
      <c r="L49" s="16" t="str">
        <f t="shared" si="4"/>
        <v>목</v>
      </c>
      <c r="M49" s="17" t="str">
        <f>IFERROR(VLOOKUP(B49,공휴일!B:C,2,0),"")</f>
        <v/>
      </c>
    </row>
    <row r="50" spans="2:13" x14ac:dyDescent="0.3">
      <c r="B50" s="31">
        <v>46269</v>
      </c>
      <c r="C50" s="113" t="s">
        <v>12</v>
      </c>
      <c r="D50" s="114" t="s">
        <v>18</v>
      </c>
      <c r="E50" s="113" t="s">
        <v>10</v>
      </c>
      <c r="F50" s="114"/>
      <c r="G50" s="89"/>
      <c r="H50" s="28" t="str">
        <f>IF(WORKDAY(B50-1,1,공휴일!$B$4:$B$24)=B50,IF(WORKDAY(B50,1,공휴일!$B$4:$B$24)&lt;&gt;B50+1,"금요일","평일"),IF(WORKDAY(B50,1,공휴일!$B$4:$B$24)&lt;&gt;B50+1,"토요일","일요일"))</f>
        <v>금요일</v>
      </c>
      <c r="I50" s="125" t="str">
        <f t="shared" si="1"/>
        <v>2026-09</v>
      </c>
      <c r="J50" s="93" t="str">
        <f t="shared" si="2"/>
        <v>이승현</v>
      </c>
      <c r="K50" s="93" t="str">
        <f t="shared" si="3"/>
        <v>유진수</v>
      </c>
      <c r="L50" s="16" t="str">
        <f t="shared" si="4"/>
        <v>금</v>
      </c>
      <c r="M50" s="17" t="str">
        <f>IFERROR(VLOOKUP(B50,공휴일!B:C,2,0),"")</f>
        <v/>
      </c>
    </row>
    <row r="51" spans="2:13" x14ac:dyDescent="0.3">
      <c r="B51" s="31">
        <v>46270</v>
      </c>
      <c r="C51" s="113" t="s">
        <v>16</v>
      </c>
      <c r="D51" s="114"/>
      <c r="E51" s="113" t="s">
        <v>20</v>
      </c>
      <c r="F51" s="114"/>
      <c r="G51" s="89"/>
      <c r="H51" s="28" t="str">
        <f>IF(WORKDAY(B51-1,1,공휴일!$B$4:$B$24)=B51,IF(WORKDAY(B51,1,공휴일!$B$4:$B$24)&lt;&gt;B51+1,"금요일","평일"),IF(WORKDAY(B51,1,공휴일!$B$4:$B$24)&lt;&gt;B51+1,"토요일","일요일"))</f>
        <v>토요일</v>
      </c>
      <c r="I51" s="125" t="str">
        <f t="shared" si="1"/>
        <v>2026-09</v>
      </c>
      <c r="J51" s="93" t="str">
        <f t="shared" si="2"/>
        <v>이현숙</v>
      </c>
      <c r="K51" s="93" t="str">
        <f t="shared" si="3"/>
        <v>이원철</v>
      </c>
      <c r="L51" s="16" t="str">
        <f t="shared" si="4"/>
        <v>토</v>
      </c>
      <c r="M51" s="17" t="str">
        <f>IFERROR(VLOOKUP(B51,공휴일!B:C,2,0),"")</f>
        <v/>
      </c>
    </row>
    <row r="52" spans="2:13" x14ac:dyDescent="0.3">
      <c r="B52" s="31">
        <v>46271</v>
      </c>
      <c r="C52" s="113" t="s">
        <v>13</v>
      </c>
      <c r="D52" s="114"/>
      <c r="E52" s="113" t="s">
        <v>21</v>
      </c>
      <c r="F52" s="114"/>
      <c r="G52" s="89"/>
      <c r="H52" s="28" t="str">
        <f>IF(WORKDAY(B52-1,1,공휴일!$B$4:$B$24)=B52,IF(WORKDAY(B52,1,공휴일!$B$4:$B$24)&lt;&gt;B52+1,"금요일","평일"),IF(WORKDAY(B52,1,공휴일!$B$4:$B$24)&lt;&gt;B52+1,"토요일","일요일"))</f>
        <v>일요일</v>
      </c>
      <c r="I52" s="125" t="str">
        <f t="shared" si="1"/>
        <v>2026-09</v>
      </c>
      <c r="J52" s="93" t="str">
        <f t="shared" si="2"/>
        <v>안지영</v>
      </c>
      <c r="K52" s="93" t="str">
        <f t="shared" si="3"/>
        <v>정찬웅</v>
      </c>
      <c r="L52" s="16" t="str">
        <f t="shared" si="4"/>
        <v>일</v>
      </c>
      <c r="M52" s="17" t="str">
        <f>IFERROR(VLOOKUP(B52,공휴일!B:C,2,0),"")</f>
        <v/>
      </c>
    </row>
    <row r="53" spans="2:13" x14ac:dyDescent="0.3">
      <c r="B53" s="31">
        <v>46272</v>
      </c>
      <c r="C53" s="113" t="s">
        <v>41</v>
      </c>
      <c r="D53" s="114"/>
      <c r="E53" s="113" t="s">
        <v>22</v>
      </c>
      <c r="F53" s="114"/>
      <c r="G53" s="89"/>
      <c r="H53" s="28" t="str">
        <f>IF(WORKDAY(B53-1,1,공휴일!$B$4:$B$24)=B53,IF(WORKDAY(B53,1,공휴일!$B$4:$B$24)&lt;&gt;B53+1,"금요일","평일"),IF(WORKDAY(B53,1,공휴일!$B$4:$B$24)&lt;&gt;B53+1,"토요일","일요일"))</f>
        <v>평일</v>
      </c>
      <c r="I53" s="125" t="str">
        <f t="shared" si="1"/>
        <v>2026-09</v>
      </c>
      <c r="J53" s="93" t="str">
        <f t="shared" si="2"/>
        <v>송남철</v>
      </c>
      <c r="K53" s="93" t="str">
        <f t="shared" si="3"/>
        <v>서진호</v>
      </c>
      <c r="L53" s="16" t="str">
        <f t="shared" si="4"/>
        <v>월</v>
      </c>
      <c r="M53" s="17" t="str">
        <f>IFERROR(VLOOKUP(B53,공휴일!B:C,2,0),"")</f>
        <v/>
      </c>
    </row>
    <row r="54" spans="2:13" x14ac:dyDescent="0.3">
      <c r="B54" s="31">
        <v>46273</v>
      </c>
      <c r="C54" s="113" t="s">
        <v>17</v>
      </c>
      <c r="D54" s="114"/>
      <c r="E54" s="113" t="s">
        <v>11</v>
      </c>
      <c r="F54" s="114" t="s">
        <v>10</v>
      </c>
      <c r="G54" s="89"/>
      <c r="H54" s="28" t="str">
        <f>IF(WORKDAY(B54-1,1,공휴일!$B$4:$B$24)=B54,IF(WORKDAY(B54,1,공휴일!$B$4:$B$24)&lt;&gt;B54+1,"금요일","평일"),IF(WORKDAY(B54,1,공휴일!$B$4:$B$24)&lt;&gt;B54+1,"토요일","일요일"))</f>
        <v>평일</v>
      </c>
      <c r="I54" s="125" t="str">
        <f t="shared" si="1"/>
        <v>2026-09</v>
      </c>
      <c r="J54" s="93" t="str">
        <f t="shared" si="2"/>
        <v>신혜원</v>
      </c>
      <c r="K54" s="93" t="str">
        <f t="shared" si="3"/>
        <v>유진수</v>
      </c>
      <c r="L54" s="16" t="str">
        <f t="shared" si="4"/>
        <v>화</v>
      </c>
      <c r="M54" s="17" t="str">
        <f>IFERROR(VLOOKUP(B54,공휴일!B:C,2,0),"")</f>
        <v/>
      </c>
    </row>
    <row r="55" spans="2:13" x14ac:dyDescent="0.3">
      <c r="B55" s="31">
        <v>46274</v>
      </c>
      <c r="C55" s="113" t="s">
        <v>40</v>
      </c>
      <c r="D55" s="114"/>
      <c r="E55" s="113" t="s">
        <v>19</v>
      </c>
      <c r="F55" s="114"/>
      <c r="G55" s="89"/>
      <c r="H55" s="28" t="str">
        <f>IF(WORKDAY(B55-1,1,공휴일!$B$4:$B$24)=B55,IF(WORKDAY(B55,1,공휴일!$B$4:$B$24)&lt;&gt;B55+1,"금요일","평일"),IF(WORKDAY(B55,1,공휴일!$B$4:$B$24)&lt;&gt;B55+1,"토요일","일요일"))</f>
        <v>평일</v>
      </c>
      <c r="I55" s="125" t="str">
        <f t="shared" si="1"/>
        <v>2026-09</v>
      </c>
      <c r="J55" s="93" t="str">
        <f t="shared" si="2"/>
        <v>여철호</v>
      </c>
      <c r="K55" s="93" t="str">
        <f t="shared" si="3"/>
        <v>우정수</v>
      </c>
      <c r="L55" s="16" t="str">
        <f t="shared" si="4"/>
        <v>수</v>
      </c>
      <c r="M55" s="17" t="str">
        <f>IFERROR(VLOOKUP(B55,공휴일!B:C,2,0),"")</f>
        <v/>
      </c>
    </row>
    <row r="56" spans="2:13" x14ac:dyDescent="0.3">
      <c r="B56" s="31">
        <v>46275</v>
      </c>
      <c r="C56" s="113" t="s">
        <v>15</v>
      </c>
      <c r="D56" s="114"/>
      <c r="E56" s="113" t="s">
        <v>44</v>
      </c>
      <c r="F56" s="114"/>
      <c r="G56" s="89"/>
      <c r="H56" s="28" t="str">
        <f>IF(WORKDAY(B56-1,1,공휴일!$B$4:$B$24)=B56,IF(WORKDAY(B56,1,공휴일!$B$4:$B$24)&lt;&gt;B56+1,"금요일","평일"),IF(WORKDAY(B56,1,공휴일!$B$4:$B$24)&lt;&gt;B56+1,"토요일","일요일"))</f>
        <v>평일</v>
      </c>
      <c r="I56" s="125" t="str">
        <f t="shared" si="1"/>
        <v>2026-09</v>
      </c>
      <c r="J56" s="93" t="str">
        <f t="shared" si="2"/>
        <v>구민아</v>
      </c>
      <c r="K56" s="93" t="str">
        <f t="shared" si="3"/>
        <v>오기희</v>
      </c>
      <c r="L56" s="16" t="str">
        <f t="shared" si="4"/>
        <v>목</v>
      </c>
      <c r="M56" s="17" t="str">
        <f>IFERROR(VLOOKUP(B56,공휴일!B:C,2,0),"")</f>
        <v/>
      </c>
    </row>
    <row r="57" spans="2:13" x14ac:dyDescent="0.3">
      <c r="B57" s="31">
        <v>46276</v>
      </c>
      <c r="C57" s="113" t="s">
        <v>14</v>
      </c>
      <c r="D57" s="114"/>
      <c r="E57" s="113" t="s">
        <v>18</v>
      </c>
      <c r="F57" s="114"/>
      <c r="G57" s="89"/>
      <c r="H57" s="28" t="str">
        <f>IF(WORKDAY(B57-1,1,공휴일!$B$4:$B$24)=B57,IF(WORKDAY(B57,1,공휴일!$B$4:$B$24)&lt;&gt;B57+1,"금요일","평일"),IF(WORKDAY(B57,1,공휴일!$B$4:$B$24)&lt;&gt;B57+1,"토요일","일요일"))</f>
        <v>금요일</v>
      </c>
      <c r="I57" s="125" t="str">
        <f t="shared" si="1"/>
        <v>2026-09</v>
      </c>
      <c r="J57" s="93" t="str">
        <f t="shared" si="2"/>
        <v>고석규</v>
      </c>
      <c r="K57" s="93" t="str">
        <f t="shared" si="3"/>
        <v>이승현</v>
      </c>
      <c r="L57" s="16" t="str">
        <f t="shared" si="4"/>
        <v>금</v>
      </c>
      <c r="M57" s="17" t="str">
        <f>IFERROR(VLOOKUP(B57,공휴일!B:C,2,0),"")</f>
        <v/>
      </c>
    </row>
    <row r="58" spans="2:13" x14ac:dyDescent="0.3">
      <c r="B58" s="31">
        <v>46277</v>
      </c>
      <c r="C58" s="113" t="s">
        <v>12</v>
      </c>
      <c r="D58" s="114"/>
      <c r="E58" s="113" t="s">
        <v>10</v>
      </c>
      <c r="F58" s="114"/>
      <c r="G58" s="89"/>
      <c r="H58" s="28" t="str">
        <f>IF(WORKDAY(B58-1,1,공휴일!$B$4:$B$24)=B58,IF(WORKDAY(B58,1,공휴일!$B$4:$B$24)&lt;&gt;B58+1,"금요일","평일"),IF(WORKDAY(B58,1,공휴일!$B$4:$B$24)&lt;&gt;B58+1,"토요일","일요일"))</f>
        <v>토요일</v>
      </c>
      <c r="I58" s="125" t="str">
        <f t="shared" si="1"/>
        <v>2026-09</v>
      </c>
      <c r="J58" s="93" t="str">
        <f t="shared" si="2"/>
        <v>한문영</v>
      </c>
      <c r="K58" s="93" t="str">
        <f t="shared" si="3"/>
        <v>유진수</v>
      </c>
      <c r="L58" s="16" t="str">
        <f t="shared" si="4"/>
        <v>토</v>
      </c>
      <c r="M58" s="17" t="str">
        <f>IFERROR(VLOOKUP(B58,공휴일!B:C,2,0),"")</f>
        <v/>
      </c>
    </row>
    <row r="59" spans="2:13" x14ac:dyDescent="0.3">
      <c r="B59" s="31">
        <v>46278</v>
      </c>
      <c r="C59" s="113" t="s">
        <v>16</v>
      </c>
      <c r="D59" s="114"/>
      <c r="E59" s="113" t="s">
        <v>20</v>
      </c>
      <c r="F59" s="114"/>
      <c r="G59" s="89"/>
      <c r="H59" s="28" t="str">
        <f>IF(WORKDAY(B59-1,1,공휴일!$B$4:$B$24)=B59,IF(WORKDAY(B59,1,공휴일!$B$4:$B$24)&lt;&gt;B59+1,"금요일","평일"),IF(WORKDAY(B59,1,공휴일!$B$4:$B$24)&lt;&gt;B59+1,"토요일","일요일"))</f>
        <v>일요일</v>
      </c>
      <c r="I59" s="125" t="str">
        <f t="shared" si="1"/>
        <v>2026-09</v>
      </c>
      <c r="J59" s="93" t="str">
        <f t="shared" si="2"/>
        <v>이현숙</v>
      </c>
      <c r="K59" s="93" t="str">
        <f t="shared" si="3"/>
        <v>이원철</v>
      </c>
      <c r="L59" s="16" t="str">
        <f t="shared" si="4"/>
        <v>일</v>
      </c>
      <c r="M59" s="17" t="str">
        <f>IFERROR(VLOOKUP(B59,공휴일!B:C,2,0),"")</f>
        <v/>
      </c>
    </row>
    <row r="60" spans="2:13" x14ac:dyDescent="0.3">
      <c r="B60" s="31">
        <v>46279</v>
      </c>
      <c r="C60" s="113" t="s">
        <v>13</v>
      </c>
      <c r="D60" s="114"/>
      <c r="E60" s="113" t="s">
        <v>21</v>
      </c>
      <c r="F60" s="114"/>
      <c r="G60" s="89"/>
      <c r="H60" s="28" t="str">
        <f>IF(WORKDAY(B60-1,1,공휴일!$B$4:$B$24)=B60,IF(WORKDAY(B60,1,공휴일!$B$4:$B$24)&lt;&gt;B60+1,"금요일","평일"),IF(WORKDAY(B60,1,공휴일!$B$4:$B$24)&lt;&gt;B60+1,"토요일","일요일"))</f>
        <v>평일</v>
      </c>
      <c r="I60" s="125" t="str">
        <f t="shared" si="1"/>
        <v>2026-09</v>
      </c>
      <c r="J60" s="93" t="str">
        <f t="shared" si="2"/>
        <v>안지영</v>
      </c>
      <c r="K60" s="93" t="str">
        <f t="shared" si="3"/>
        <v>정찬웅</v>
      </c>
      <c r="L60" s="16" t="str">
        <f t="shared" si="4"/>
        <v>월</v>
      </c>
      <c r="M60" s="17" t="str">
        <f>IFERROR(VLOOKUP(B60,공휴일!B:C,2,0),"")</f>
        <v/>
      </c>
    </row>
    <row r="61" spans="2:13" x14ac:dyDescent="0.3">
      <c r="B61" s="31">
        <v>46280</v>
      </c>
      <c r="C61" s="113" t="s">
        <v>41</v>
      </c>
      <c r="D61" s="114"/>
      <c r="E61" s="113" t="s">
        <v>22</v>
      </c>
      <c r="F61" s="114"/>
      <c r="G61" s="89"/>
      <c r="H61" s="28" t="str">
        <f>IF(WORKDAY(B61-1,1,공휴일!$B$4:$B$24)=B61,IF(WORKDAY(B61,1,공휴일!$B$4:$B$24)&lt;&gt;B61+1,"금요일","평일"),IF(WORKDAY(B61,1,공휴일!$B$4:$B$24)&lt;&gt;B61+1,"토요일","일요일"))</f>
        <v>평일</v>
      </c>
      <c r="I61" s="125" t="str">
        <f t="shared" si="1"/>
        <v>2026-09</v>
      </c>
      <c r="J61" s="93" t="str">
        <f t="shared" si="2"/>
        <v>송남철</v>
      </c>
      <c r="K61" s="93" t="str">
        <f t="shared" si="3"/>
        <v>서진호</v>
      </c>
      <c r="L61" s="16" t="str">
        <f t="shared" si="4"/>
        <v>화</v>
      </c>
      <c r="M61" s="17" t="str">
        <f>IFERROR(VLOOKUP(B61,공휴일!B:C,2,0),"")</f>
        <v/>
      </c>
    </row>
    <row r="62" spans="2:13" x14ac:dyDescent="0.3">
      <c r="B62" s="31">
        <v>46281</v>
      </c>
      <c r="C62" s="113" t="s">
        <v>17</v>
      </c>
      <c r="D62" s="114"/>
      <c r="E62" s="113" t="s">
        <v>11</v>
      </c>
      <c r="F62" s="114"/>
      <c r="G62" s="89"/>
      <c r="H62" s="28" t="str">
        <f>IF(WORKDAY(B62-1,1,공휴일!$B$4:$B$24)=B62,IF(WORKDAY(B62,1,공휴일!$B$4:$B$24)&lt;&gt;B62+1,"금요일","평일"),IF(WORKDAY(B62,1,공휴일!$B$4:$B$24)&lt;&gt;B62+1,"토요일","일요일"))</f>
        <v>평일</v>
      </c>
      <c r="I62" s="125" t="str">
        <f t="shared" si="1"/>
        <v>2026-09</v>
      </c>
      <c r="J62" s="93" t="str">
        <f t="shared" si="2"/>
        <v>신혜원</v>
      </c>
      <c r="K62" s="93" t="str">
        <f t="shared" si="3"/>
        <v>장민우</v>
      </c>
      <c r="L62" s="16" t="str">
        <f t="shared" si="4"/>
        <v>수</v>
      </c>
      <c r="M62" s="17" t="str">
        <f>IFERROR(VLOOKUP(B62,공휴일!B:C,2,0),"")</f>
        <v/>
      </c>
    </row>
    <row r="63" spans="2:13" x14ac:dyDescent="0.3">
      <c r="B63" s="31">
        <v>46282</v>
      </c>
      <c r="C63" s="113" t="s">
        <v>40</v>
      </c>
      <c r="D63" s="114"/>
      <c r="E63" s="113" t="s">
        <v>19</v>
      </c>
      <c r="F63" s="114"/>
      <c r="G63" s="89"/>
      <c r="H63" s="28" t="str">
        <f>IF(WORKDAY(B63-1,1,공휴일!$B$4:$B$24)=B63,IF(WORKDAY(B63,1,공휴일!$B$4:$B$24)&lt;&gt;B63+1,"금요일","평일"),IF(WORKDAY(B63,1,공휴일!$B$4:$B$24)&lt;&gt;B63+1,"토요일","일요일"))</f>
        <v>평일</v>
      </c>
      <c r="I63" s="125" t="str">
        <f t="shared" si="1"/>
        <v>2026-09</v>
      </c>
      <c r="J63" s="93" t="str">
        <f t="shared" si="2"/>
        <v>여철호</v>
      </c>
      <c r="K63" s="93" t="str">
        <f t="shared" si="3"/>
        <v>우정수</v>
      </c>
      <c r="L63" s="16" t="str">
        <f t="shared" si="4"/>
        <v>목</v>
      </c>
      <c r="M63" s="17" t="str">
        <f>IFERROR(VLOOKUP(B63,공휴일!B:C,2,0),"")</f>
        <v/>
      </c>
    </row>
    <row r="64" spans="2:13" x14ac:dyDescent="0.3">
      <c r="B64" s="31">
        <v>46283</v>
      </c>
      <c r="C64" s="113" t="s">
        <v>15</v>
      </c>
      <c r="D64" s="114"/>
      <c r="E64" s="113" t="s">
        <v>44</v>
      </c>
      <c r="F64" s="114"/>
      <c r="G64" s="89"/>
      <c r="H64" s="28" t="str">
        <f>IF(WORKDAY(B64-1,1,공휴일!$B$4:$B$24)=B64,IF(WORKDAY(B64,1,공휴일!$B$4:$B$24)&lt;&gt;B64+1,"금요일","평일"),IF(WORKDAY(B64,1,공휴일!$B$4:$B$24)&lt;&gt;B64+1,"토요일","일요일"))</f>
        <v>금요일</v>
      </c>
      <c r="I64" s="125" t="str">
        <f t="shared" si="1"/>
        <v>2026-09</v>
      </c>
      <c r="J64" s="93" t="str">
        <f t="shared" si="2"/>
        <v>구민아</v>
      </c>
      <c r="K64" s="93" t="str">
        <f t="shared" si="3"/>
        <v>오기희</v>
      </c>
      <c r="L64" s="16" t="str">
        <f t="shared" si="4"/>
        <v>금</v>
      </c>
      <c r="M64" s="17" t="str">
        <f>IFERROR(VLOOKUP(B64,공휴일!B:C,2,0),"")</f>
        <v/>
      </c>
    </row>
    <row r="65" spans="2:13" x14ac:dyDescent="0.3">
      <c r="B65" s="31">
        <v>46284</v>
      </c>
      <c r="C65" s="113" t="s">
        <v>14</v>
      </c>
      <c r="D65" s="114"/>
      <c r="E65" s="113" t="s">
        <v>18</v>
      </c>
      <c r="F65" s="114" t="s">
        <v>21</v>
      </c>
      <c r="G65" s="89"/>
      <c r="H65" s="28" t="str">
        <f>IF(WORKDAY(B65-1,1,공휴일!$B$4:$B$24)=B65,IF(WORKDAY(B65,1,공휴일!$B$4:$B$24)&lt;&gt;B65+1,"금요일","평일"),IF(WORKDAY(B65,1,공휴일!$B$4:$B$24)&lt;&gt;B65+1,"토요일","일요일"))</f>
        <v>토요일</v>
      </c>
      <c r="I65" s="125" t="str">
        <f t="shared" si="1"/>
        <v>2026-09</v>
      </c>
      <c r="J65" s="93" t="str">
        <f t="shared" si="2"/>
        <v>고석규</v>
      </c>
      <c r="K65" s="93" t="str">
        <f t="shared" si="3"/>
        <v>정찬웅</v>
      </c>
      <c r="L65" s="16" t="str">
        <f t="shared" si="4"/>
        <v>토</v>
      </c>
      <c r="M65" s="17" t="str">
        <f>IFERROR(VLOOKUP(B65,공휴일!B:C,2,0),"")</f>
        <v/>
      </c>
    </row>
    <row r="66" spans="2:13" x14ac:dyDescent="0.3">
      <c r="B66" s="31">
        <v>46285</v>
      </c>
      <c r="C66" s="113" t="s">
        <v>12</v>
      </c>
      <c r="D66" s="114"/>
      <c r="E66" s="113" t="s">
        <v>10</v>
      </c>
      <c r="F66" s="114"/>
      <c r="G66" s="89"/>
      <c r="H66" s="28" t="str">
        <f>IF(WORKDAY(B66-1,1,공휴일!$B$4:$B$24)=B66,IF(WORKDAY(B66,1,공휴일!$B$4:$B$24)&lt;&gt;B66+1,"금요일","평일"),IF(WORKDAY(B66,1,공휴일!$B$4:$B$24)&lt;&gt;B66+1,"토요일","일요일"))</f>
        <v>일요일</v>
      </c>
      <c r="I66" s="125" t="str">
        <f t="shared" si="1"/>
        <v>2026-09</v>
      </c>
      <c r="J66" s="93" t="str">
        <f t="shared" si="2"/>
        <v>한문영</v>
      </c>
      <c r="K66" s="93" t="str">
        <f t="shared" si="3"/>
        <v>유진수</v>
      </c>
      <c r="L66" s="16" t="str">
        <f t="shared" si="4"/>
        <v>일</v>
      </c>
      <c r="M66" s="17" t="str">
        <f>IFERROR(VLOOKUP(B66,공휴일!B:C,2,0),"")</f>
        <v/>
      </c>
    </row>
    <row r="67" spans="2:13" x14ac:dyDescent="0.3">
      <c r="B67" s="31">
        <v>46286</v>
      </c>
      <c r="C67" s="113" t="s">
        <v>16</v>
      </c>
      <c r="D67" s="114"/>
      <c r="E67" s="113" t="s">
        <v>20</v>
      </c>
      <c r="F67" s="114"/>
      <c r="G67" s="89"/>
      <c r="H67" s="28" t="str">
        <f>IF(WORKDAY(B67-1,1,공휴일!$B$4:$B$24)=B67,IF(WORKDAY(B67,1,공휴일!$B$4:$B$24)&lt;&gt;B67+1,"금요일","평일"),IF(WORKDAY(B67,1,공휴일!$B$4:$B$24)&lt;&gt;B67+1,"토요일","일요일"))</f>
        <v>평일</v>
      </c>
      <c r="I67" s="125" t="str">
        <f t="shared" si="1"/>
        <v>2026-09</v>
      </c>
      <c r="J67" s="93" t="str">
        <f t="shared" si="2"/>
        <v>이현숙</v>
      </c>
      <c r="K67" s="93" t="str">
        <f t="shared" si="3"/>
        <v>이원철</v>
      </c>
      <c r="L67" s="16" t="str">
        <f t="shared" si="4"/>
        <v>월</v>
      </c>
      <c r="M67" s="17" t="str">
        <f>IFERROR(VLOOKUP(B67,공휴일!B:C,2,0),"")</f>
        <v/>
      </c>
    </row>
    <row r="68" spans="2:13" x14ac:dyDescent="0.3">
      <c r="B68" s="31">
        <v>46287</v>
      </c>
      <c r="C68" s="113" t="s">
        <v>13</v>
      </c>
      <c r="D68" s="114" t="s">
        <v>41</v>
      </c>
      <c r="E68" s="113" t="s">
        <v>21</v>
      </c>
      <c r="F68" s="114"/>
      <c r="G68" s="89"/>
      <c r="H68" s="28" t="str">
        <f>IF(WORKDAY(B68-1,1,공휴일!$B$4:$B$24)=B68,IF(WORKDAY(B68,1,공휴일!$B$4:$B$24)&lt;&gt;B68+1,"금요일","평일"),IF(WORKDAY(B68,1,공휴일!$B$4:$B$24)&lt;&gt;B68+1,"토요일","일요일"))</f>
        <v>평일</v>
      </c>
      <c r="I68" s="125" t="str">
        <f t="shared" si="1"/>
        <v>2026-09</v>
      </c>
      <c r="J68" s="93" t="str">
        <f t="shared" si="2"/>
        <v>송남철</v>
      </c>
      <c r="K68" s="93" t="str">
        <f t="shared" si="3"/>
        <v>정찬웅</v>
      </c>
      <c r="L68" s="16" t="str">
        <f t="shared" si="4"/>
        <v>화</v>
      </c>
      <c r="M68" s="17" t="str">
        <f>IFERROR(VLOOKUP(B68,공휴일!B:C,2,0),"")</f>
        <v/>
      </c>
    </row>
    <row r="69" spans="2:13" x14ac:dyDescent="0.3">
      <c r="B69" s="31">
        <v>46288</v>
      </c>
      <c r="C69" s="113" t="s">
        <v>41</v>
      </c>
      <c r="D69" s="114" t="s">
        <v>13</v>
      </c>
      <c r="E69" s="113" t="s">
        <v>22</v>
      </c>
      <c r="F69" s="114" t="s">
        <v>18</v>
      </c>
      <c r="G69" s="89"/>
      <c r="H69" s="28" t="str">
        <f>IF(WORKDAY(B69-1,1,공휴일!$B$4:$B$24)=B69,IF(WORKDAY(B69,1,공휴일!$B$4:$B$24)&lt;&gt;B69+1,"금요일","평일"),IF(WORKDAY(B69,1,공휴일!$B$4:$B$24)&lt;&gt;B69+1,"토요일","일요일"))</f>
        <v>금요일</v>
      </c>
      <c r="I69" s="125" t="str">
        <f t="shared" si="1"/>
        <v>2026-09</v>
      </c>
      <c r="J69" s="93" t="str">
        <f t="shared" si="2"/>
        <v>안지영</v>
      </c>
      <c r="K69" s="93" t="str">
        <f t="shared" si="3"/>
        <v>이승현</v>
      </c>
      <c r="L69" s="16" t="str">
        <f t="shared" ref="L69:L100" si="5">TEXT(B69,"aaa")</f>
        <v>수</v>
      </c>
      <c r="M69" s="17" t="str">
        <f>IFERROR(VLOOKUP(B69,공휴일!B:C,2,0),"")</f>
        <v/>
      </c>
    </row>
    <row r="70" spans="2:13" x14ac:dyDescent="0.3">
      <c r="B70" s="31">
        <v>46289</v>
      </c>
      <c r="C70" s="113" t="s">
        <v>17</v>
      </c>
      <c r="D70" s="114"/>
      <c r="E70" s="113" t="s">
        <v>11</v>
      </c>
      <c r="F70" s="114" t="s">
        <v>22</v>
      </c>
      <c r="G70" s="89"/>
      <c r="H70" s="28" t="str">
        <f>IF(WORKDAY(B70-1,1,공휴일!$B$4:$B$24)=B70,IF(WORKDAY(B70,1,공휴일!$B$4:$B$24)&lt;&gt;B70+1,"금요일","평일"),IF(WORKDAY(B70,1,공휴일!$B$4:$B$24)&lt;&gt;B70+1,"토요일","일요일"))</f>
        <v>토요일</v>
      </c>
      <c r="I70" s="125" t="str">
        <f t="shared" ref="I70:I133" si="6">TEXT(B70,"yyyy-mm")</f>
        <v>2026-09</v>
      </c>
      <c r="J70" s="93" t="str">
        <f t="shared" ref="J70:J133" si="7">IF(D70="",C70,D70)</f>
        <v>신혜원</v>
      </c>
      <c r="K70" s="93" t="str">
        <f t="shared" ref="K70:K133" si="8">IF(F70="",E70,F70)</f>
        <v>서진호</v>
      </c>
      <c r="L70" s="16" t="str">
        <f t="shared" si="5"/>
        <v>목</v>
      </c>
      <c r="M70" s="17" t="str">
        <f>IFERROR(VLOOKUP(B70,공휴일!B:C,2,0),"")</f>
        <v>추석연휴</v>
      </c>
    </row>
    <row r="71" spans="2:13" x14ac:dyDescent="0.3">
      <c r="B71" s="31">
        <v>46290</v>
      </c>
      <c r="C71" s="113" t="s">
        <v>40</v>
      </c>
      <c r="D71" s="114"/>
      <c r="E71" s="113" t="s">
        <v>19</v>
      </c>
      <c r="F71" s="114"/>
      <c r="G71" s="89"/>
      <c r="H71" s="28" t="str">
        <f>IF(WORKDAY(B71-1,1,공휴일!$B$4:$B$24)=B71,IF(WORKDAY(B71,1,공휴일!$B$4:$B$24)&lt;&gt;B71+1,"금요일","평일"),IF(WORKDAY(B71,1,공휴일!$B$4:$B$24)&lt;&gt;B71+1,"토요일","일요일"))</f>
        <v>토요일</v>
      </c>
      <c r="I71" s="125" t="str">
        <f t="shared" si="6"/>
        <v>2026-09</v>
      </c>
      <c r="J71" s="93" t="str">
        <f t="shared" si="7"/>
        <v>여철호</v>
      </c>
      <c r="K71" s="93" t="str">
        <f t="shared" si="8"/>
        <v>우정수</v>
      </c>
      <c r="L71" s="16" t="str">
        <f t="shared" si="5"/>
        <v>금</v>
      </c>
      <c r="M71" s="17" t="str">
        <f>IFERROR(VLOOKUP(B71,공휴일!B:C,2,0),"")</f>
        <v>추석</v>
      </c>
    </row>
    <row r="72" spans="2:13" x14ac:dyDescent="0.3">
      <c r="B72" s="31">
        <v>46291</v>
      </c>
      <c r="C72" s="113" t="s">
        <v>15</v>
      </c>
      <c r="D72" s="114"/>
      <c r="E72" s="113" t="s">
        <v>44</v>
      </c>
      <c r="F72" s="114"/>
      <c r="G72" s="89"/>
      <c r="H72" s="28" t="str">
        <f>IF(WORKDAY(B72-1,1,공휴일!$B$4:$B$24)=B72,IF(WORKDAY(B72,1,공휴일!$B$4:$B$24)&lt;&gt;B72+1,"금요일","평일"),IF(WORKDAY(B72,1,공휴일!$B$4:$B$24)&lt;&gt;B72+1,"토요일","일요일"))</f>
        <v>토요일</v>
      </c>
      <c r="I72" s="125" t="str">
        <f t="shared" si="6"/>
        <v>2026-09</v>
      </c>
      <c r="J72" s="93" t="str">
        <f t="shared" si="7"/>
        <v>구민아</v>
      </c>
      <c r="K72" s="93" t="str">
        <f t="shared" si="8"/>
        <v>오기희</v>
      </c>
      <c r="L72" s="16" t="str">
        <f t="shared" si="5"/>
        <v>토</v>
      </c>
      <c r="M72" s="17" t="str">
        <f>IFERROR(VLOOKUP(B72,공휴일!B:C,2,0),"")</f>
        <v>추석연휴</v>
      </c>
    </row>
    <row r="73" spans="2:13" x14ac:dyDescent="0.3">
      <c r="B73" s="31">
        <v>46292</v>
      </c>
      <c r="C73" s="113" t="s">
        <v>14</v>
      </c>
      <c r="D73" s="114"/>
      <c r="E73" s="113" t="s">
        <v>18</v>
      </c>
      <c r="F73" s="114"/>
      <c r="G73" s="89"/>
      <c r="H73" s="28" t="str">
        <f>IF(WORKDAY(B73-1,1,공휴일!$B$4:$B$24)=B73,IF(WORKDAY(B73,1,공휴일!$B$4:$B$24)&lt;&gt;B73+1,"금요일","평일"),IF(WORKDAY(B73,1,공휴일!$B$4:$B$24)&lt;&gt;B73+1,"토요일","일요일"))</f>
        <v>일요일</v>
      </c>
      <c r="I73" s="125" t="str">
        <f t="shared" si="6"/>
        <v>2026-09</v>
      </c>
      <c r="J73" s="93" t="str">
        <f t="shared" si="7"/>
        <v>고석규</v>
      </c>
      <c r="K73" s="93" t="str">
        <f t="shared" si="8"/>
        <v>이승현</v>
      </c>
      <c r="L73" s="16" t="str">
        <f t="shared" si="5"/>
        <v>일</v>
      </c>
      <c r="M73" s="17" t="str">
        <f>IFERROR(VLOOKUP(B73,공휴일!B:C,2,0),"")</f>
        <v/>
      </c>
    </row>
    <row r="74" spans="2:13" x14ac:dyDescent="0.3">
      <c r="B74" s="31">
        <v>46293</v>
      </c>
      <c r="C74" s="113" t="s">
        <v>12</v>
      </c>
      <c r="D74" s="114"/>
      <c r="E74" s="113" t="s">
        <v>10</v>
      </c>
      <c r="F74" s="114"/>
      <c r="G74" s="89"/>
      <c r="H74" s="28" t="str">
        <f>IF(WORKDAY(B74-1,1,공휴일!$B$4:$B$24)=B74,IF(WORKDAY(B74,1,공휴일!$B$4:$B$24)&lt;&gt;B74+1,"금요일","평일"),IF(WORKDAY(B74,1,공휴일!$B$4:$B$24)&lt;&gt;B74+1,"토요일","일요일"))</f>
        <v>평일</v>
      </c>
      <c r="I74" s="125" t="str">
        <f t="shared" si="6"/>
        <v>2026-09</v>
      </c>
      <c r="J74" s="93" t="str">
        <f t="shared" si="7"/>
        <v>한문영</v>
      </c>
      <c r="K74" s="93" t="str">
        <f t="shared" si="8"/>
        <v>유진수</v>
      </c>
      <c r="L74" s="16" t="str">
        <f t="shared" si="5"/>
        <v>월</v>
      </c>
      <c r="M74" s="17" t="str">
        <f>IFERROR(VLOOKUP(B74,공휴일!B:C,2,0),"")</f>
        <v/>
      </c>
    </row>
    <row r="75" spans="2:13" x14ac:dyDescent="0.3">
      <c r="B75" s="31">
        <v>46294</v>
      </c>
      <c r="C75" s="113" t="s">
        <v>16</v>
      </c>
      <c r="D75" s="114"/>
      <c r="E75" s="113" t="s">
        <v>20</v>
      </c>
      <c r="F75" s="114"/>
      <c r="G75" s="89"/>
      <c r="H75" s="28" t="str">
        <f>IF(WORKDAY(B75-1,1,공휴일!$B$4:$B$24)=B75,IF(WORKDAY(B75,1,공휴일!$B$4:$B$24)&lt;&gt;B75+1,"금요일","평일"),IF(WORKDAY(B75,1,공휴일!$B$4:$B$24)&lt;&gt;B75+1,"토요일","일요일"))</f>
        <v>평일</v>
      </c>
      <c r="I75" s="125" t="str">
        <f t="shared" si="6"/>
        <v>2026-09</v>
      </c>
      <c r="J75" s="93" t="str">
        <f t="shared" si="7"/>
        <v>이현숙</v>
      </c>
      <c r="K75" s="93" t="str">
        <f t="shared" si="8"/>
        <v>이원철</v>
      </c>
      <c r="L75" s="16" t="str">
        <f t="shared" si="5"/>
        <v>화</v>
      </c>
      <c r="M75" s="17" t="str">
        <f>IFERROR(VLOOKUP(B75,공휴일!B:C,2,0),"")</f>
        <v/>
      </c>
    </row>
    <row r="76" spans="2:13" x14ac:dyDescent="0.3">
      <c r="B76" s="31">
        <v>46295</v>
      </c>
      <c r="C76" s="113" t="s">
        <v>13</v>
      </c>
      <c r="D76" s="114"/>
      <c r="E76" s="113" t="s">
        <v>21</v>
      </c>
      <c r="F76" s="114"/>
      <c r="G76" s="89"/>
      <c r="H76" s="28" t="str">
        <f>IF(WORKDAY(B76-1,1,공휴일!$B$4:$B$24)=B76,IF(WORKDAY(B76,1,공휴일!$B$4:$B$24)&lt;&gt;B76+1,"금요일","평일"),IF(WORKDAY(B76,1,공휴일!$B$4:$B$24)&lt;&gt;B76+1,"토요일","일요일"))</f>
        <v>평일</v>
      </c>
      <c r="I76" s="125" t="str">
        <f t="shared" si="6"/>
        <v>2026-09</v>
      </c>
      <c r="J76" s="93" t="str">
        <f t="shared" si="7"/>
        <v>안지영</v>
      </c>
      <c r="K76" s="93" t="str">
        <f t="shared" si="8"/>
        <v>정찬웅</v>
      </c>
      <c r="L76" s="16" t="str">
        <f t="shared" si="5"/>
        <v>수</v>
      </c>
      <c r="M76" s="17" t="str">
        <f>IFERROR(VLOOKUP(B76,공휴일!B:C,2,0),"")</f>
        <v/>
      </c>
    </row>
    <row r="77" spans="2:13" x14ac:dyDescent="0.3">
      <c r="B77" s="31">
        <v>46296</v>
      </c>
      <c r="C77" s="115" t="s">
        <v>41</v>
      </c>
      <c r="D77" s="116"/>
      <c r="E77" s="115" t="s">
        <v>22</v>
      </c>
      <c r="F77" s="116"/>
      <c r="G77" s="89"/>
      <c r="H77" s="28" t="str">
        <f>IF(WORKDAY(B77-1,1,공휴일!$B$4:$B$24)=B77,IF(WORKDAY(B77,1,공휴일!$B$4:$B$24)&lt;&gt;B77+1,"금요일","평일"),IF(WORKDAY(B77,1,공휴일!$B$4:$B$24)&lt;&gt;B77+1,"토요일","일요일"))</f>
        <v>평일</v>
      </c>
      <c r="I77" s="125" t="str">
        <f t="shared" si="6"/>
        <v>2026-10</v>
      </c>
      <c r="J77" s="93" t="str">
        <f t="shared" si="7"/>
        <v>송남철</v>
      </c>
      <c r="K77" s="93" t="str">
        <f t="shared" si="8"/>
        <v>서진호</v>
      </c>
      <c r="L77" s="16" t="str">
        <f t="shared" si="5"/>
        <v>목</v>
      </c>
      <c r="M77" s="17" t="str">
        <f>IFERROR(VLOOKUP(B77,공휴일!B:C,2,0),"")</f>
        <v/>
      </c>
    </row>
    <row r="78" spans="2:13" x14ac:dyDescent="0.3">
      <c r="B78" s="31">
        <v>46297</v>
      </c>
      <c r="C78" s="115" t="s">
        <v>17</v>
      </c>
      <c r="D78" s="116"/>
      <c r="E78" s="115" t="s">
        <v>11</v>
      </c>
      <c r="F78" s="116"/>
      <c r="G78" s="89"/>
      <c r="H78" s="28" t="str">
        <f>IF(WORKDAY(B78-1,1,공휴일!$B$4:$B$24)=B78,IF(WORKDAY(B78,1,공휴일!$B$4:$B$24)&lt;&gt;B78+1,"금요일","평일"),IF(WORKDAY(B78,1,공휴일!$B$4:$B$24)&lt;&gt;B78+1,"토요일","일요일"))</f>
        <v>금요일</v>
      </c>
      <c r="I78" s="125" t="str">
        <f t="shared" si="6"/>
        <v>2026-10</v>
      </c>
      <c r="J78" s="93" t="str">
        <f t="shared" si="7"/>
        <v>신혜원</v>
      </c>
      <c r="K78" s="93" t="str">
        <f t="shared" si="8"/>
        <v>장민우</v>
      </c>
      <c r="L78" s="16" t="str">
        <f t="shared" si="5"/>
        <v>금</v>
      </c>
      <c r="M78" s="17" t="str">
        <f>IFERROR(VLOOKUP(B78,공휴일!B:C,2,0),"")</f>
        <v/>
      </c>
    </row>
    <row r="79" spans="2:13" x14ac:dyDescent="0.3">
      <c r="B79" s="31">
        <v>46298</v>
      </c>
      <c r="C79" s="115" t="s">
        <v>40</v>
      </c>
      <c r="D79" s="116"/>
      <c r="E79" s="115" t="s">
        <v>19</v>
      </c>
      <c r="F79" s="116"/>
      <c r="G79" s="89"/>
      <c r="H79" s="28" t="str">
        <f>IF(WORKDAY(B79-1,1,공휴일!$B$4:$B$24)=B79,IF(WORKDAY(B79,1,공휴일!$B$4:$B$24)&lt;&gt;B79+1,"금요일","평일"),IF(WORKDAY(B79,1,공휴일!$B$4:$B$24)&lt;&gt;B79+1,"토요일","일요일"))</f>
        <v>토요일</v>
      </c>
      <c r="I79" s="125" t="str">
        <f t="shared" si="6"/>
        <v>2026-10</v>
      </c>
      <c r="J79" s="93" t="str">
        <f t="shared" si="7"/>
        <v>여철호</v>
      </c>
      <c r="K79" s="93" t="str">
        <f t="shared" si="8"/>
        <v>우정수</v>
      </c>
      <c r="L79" s="16" t="str">
        <f t="shared" si="5"/>
        <v>토</v>
      </c>
      <c r="M79" s="17" t="str">
        <f>IFERROR(VLOOKUP(B79,공휴일!B:C,2,0),"")</f>
        <v>개천절</v>
      </c>
    </row>
    <row r="80" spans="2:13" x14ac:dyDescent="0.3">
      <c r="B80" s="31">
        <v>46299</v>
      </c>
      <c r="C80" s="115" t="s">
        <v>15</v>
      </c>
      <c r="D80" s="116"/>
      <c r="E80" s="115" t="s">
        <v>44</v>
      </c>
      <c r="F80" s="116"/>
      <c r="G80" s="89"/>
      <c r="H80" s="28" t="str">
        <f>IF(WORKDAY(B80-1,1,공휴일!$B$4:$B$24)=B80,IF(WORKDAY(B80,1,공휴일!$B$4:$B$24)&lt;&gt;B80+1,"금요일","평일"),IF(WORKDAY(B80,1,공휴일!$B$4:$B$24)&lt;&gt;B80+1,"토요일","일요일"))</f>
        <v>토요일</v>
      </c>
      <c r="I80" s="125" t="str">
        <f t="shared" si="6"/>
        <v>2026-10</v>
      </c>
      <c r="J80" s="93" t="str">
        <f t="shared" si="7"/>
        <v>구민아</v>
      </c>
      <c r="K80" s="93" t="str">
        <f t="shared" si="8"/>
        <v>오기희</v>
      </c>
      <c r="L80" s="16" t="str">
        <f t="shared" si="5"/>
        <v>일</v>
      </c>
      <c r="M80" s="17" t="str">
        <f>IFERROR(VLOOKUP(B80,공휴일!B:C,2,0),"")</f>
        <v/>
      </c>
    </row>
    <row r="81" spans="2:13" x14ac:dyDescent="0.3">
      <c r="B81" s="31">
        <v>46300</v>
      </c>
      <c r="C81" s="115" t="s">
        <v>14</v>
      </c>
      <c r="D81" s="116"/>
      <c r="E81" s="115" t="s">
        <v>18</v>
      </c>
      <c r="F81" s="116"/>
      <c r="G81" s="89"/>
      <c r="H81" s="28" t="str">
        <f>IF(WORKDAY(B81-1,1,공휴일!$B$4:$B$24)=B81,IF(WORKDAY(B81,1,공휴일!$B$4:$B$24)&lt;&gt;B81+1,"금요일","평일"),IF(WORKDAY(B81,1,공휴일!$B$4:$B$24)&lt;&gt;B81+1,"토요일","일요일"))</f>
        <v>일요일</v>
      </c>
      <c r="I81" s="125" t="str">
        <f t="shared" si="6"/>
        <v>2026-10</v>
      </c>
      <c r="J81" s="93" t="str">
        <f t="shared" si="7"/>
        <v>고석규</v>
      </c>
      <c r="K81" s="93" t="str">
        <f t="shared" si="8"/>
        <v>이승현</v>
      </c>
      <c r="L81" s="16" t="str">
        <f t="shared" si="5"/>
        <v>월</v>
      </c>
      <c r="M81" s="17" t="str">
        <f>IFERROR(VLOOKUP(B81,공휴일!B:C,2,0),"")</f>
        <v>대체공휴일</v>
      </c>
    </row>
    <row r="82" spans="2:13" x14ac:dyDescent="0.3">
      <c r="B82" s="31">
        <v>46301</v>
      </c>
      <c r="C82" s="115" t="s">
        <v>12</v>
      </c>
      <c r="D82" s="116"/>
      <c r="E82" s="115" t="s">
        <v>10</v>
      </c>
      <c r="F82" s="116"/>
      <c r="G82" s="89"/>
      <c r="H82" s="28" t="str">
        <f>IF(WORKDAY(B82-1,1,공휴일!$B$4:$B$24)=B82,IF(WORKDAY(B82,1,공휴일!$B$4:$B$24)&lt;&gt;B82+1,"금요일","평일"),IF(WORKDAY(B82,1,공휴일!$B$4:$B$24)&lt;&gt;B82+1,"토요일","일요일"))</f>
        <v>평일</v>
      </c>
      <c r="I82" s="125" t="str">
        <f t="shared" si="6"/>
        <v>2026-10</v>
      </c>
      <c r="J82" s="93" t="str">
        <f t="shared" si="7"/>
        <v>한문영</v>
      </c>
      <c r="K82" s="93" t="str">
        <f t="shared" si="8"/>
        <v>유진수</v>
      </c>
      <c r="L82" s="16" t="str">
        <f t="shared" si="5"/>
        <v>화</v>
      </c>
      <c r="M82" s="17" t="str">
        <f>IFERROR(VLOOKUP(B82,공휴일!B:C,2,0),"")</f>
        <v/>
      </c>
    </row>
    <row r="83" spans="2:13" x14ac:dyDescent="0.3">
      <c r="B83" s="31">
        <v>46302</v>
      </c>
      <c r="C83" s="115" t="s">
        <v>16</v>
      </c>
      <c r="D83" s="116"/>
      <c r="E83" s="115" t="s">
        <v>20</v>
      </c>
      <c r="F83" s="116"/>
      <c r="G83" s="89"/>
      <c r="H83" s="28" t="str">
        <f>IF(WORKDAY(B83-1,1,공휴일!$B$4:$B$24)=B83,IF(WORKDAY(B83,1,공휴일!$B$4:$B$24)&lt;&gt;B83+1,"금요일","평일"),IF(WORKDAY(B83,1,공휴일!$B$4:$B$24)&lt;&gt;B83+1,"토요일","일요일"))</f>
        <v>평일</v>
      </c>
      <c r="I83" s="125" t="str">
        <f t="shared" si="6"/>
        <v>2026-10</v>
      </c>
      <c r="J83" s="93" t="str">
        <f t="shared" si="7"/>
        <v>이현숙</v>
      </c>
      <c r="K83" s="93" t="str">
        <f t="shared" si="8"/>
        <v>이원철</v>
      </c>
      <c r="L83" s="16" t="str">
        <f t="shared" si="5"/>
        <v>수</v>
      </c>
      <c r="M83" s="17" t="str">
        <f>IFERROR(VLOOKUP(B83,공휴일!B:C,2,0),"")</f>
        <v/>
      </c>
    </row>
    <row r="84" spans="2:13" x14ac:dyDescent="0.3">
      <c r="B84" s="31">
        <v>46303</v>
      </c>
      <c r="C84" s="115" t="s">
        <v>13</v>
      </c>
      <c r="D84" s="116"/>
      <c r="E84" s="115" t="s">
        <v>21</v>
      </c>
      <c r="F84" s="116"/>
      <c r="G84" s="89"/>
      <c r="H84" s="28" t="str">
        <f>IF(WORKDAY(B84-1,1,공휴일!$B$4:$B$24)=B84,IF(WORKDAY(B84,1,공휴일!$B$4:$B$24)&lt;&gt;B84+1,"금요일","평일"),IF(WORKDAY(B84,1,공휴일!$B$4:$B$24)&lt;&gt;B84+1,"토요일","일요일"))</f>
        <v>금요일</v>
      </c>
      <c r="I84" s="125" t="str">
        <f t="shared" si="6"/>
        <v>2026-10</v>
      </c>
      <c r="J84" s="93" t="str">
        <f t="shared" si="7"/>
        <v>안지영</v>
      </c>
      <c r="K84" s="93" t="str">
        <f t="shared" si="8"/>
        <v>정찬웅</v>
      </c>
      <c r="L84" s="16" t="str">
        <f t="shared" si="5"/>
        <v>목</v>
      </c>
      <c r="M84" s="17" t="str">
        <f>IFERROR(VLOOKUP(B84,공휴일!B:C,2,0),"")</f>
        <v/>
      </c>
    </row>
    <row r="85" spans="2:13" x14ac:dyDescent="0.3">
      <c r="B85" s="31">
        <v>46304</v>
      </c>
      <c r="C85" s="115" t="s">
        <v>41</v>
      </c>
      <c r="D85" s="116"/>
      <c r="E85" s="115" t="s">
        <v>22</v>
      </c>
      <c r="F85" s="116"/>
      <c r="G85" s="89"/>
      <c r="H85" s="28" t="str">
        <f>IF(WORKDAY(B85-1,1,공휴일!$B$4:$B$24)=B85,IF(WORKDAY(B85,1,공휴일!$B$4:$B$24)&lt;&gt;B85+1,"금요일","평일"),IF(WORKDAY(B85,1,공휴일!$B$4:$B$24)&lt;&gt;B85+1,"토요일","일요일"))</f>
        <v>토요일</v>
      </c>
      <c r="I85" s="125" t="str">
        <f t="shared" si="6"/>
        <v>2026-10</v>
      </c>
      <c r="J85" s="93" t="str">
        <f t="shared" si="7"/>
        <v>송남철</v>
      </c>
      <c r="K85" s="93" t="str">
        <f t="shared" si="8"/>
        <v>서진호</v>
      </c>
      <c r="L85" s="16" t="str">
        <f t="shared" si="5"/>
        <v>금</v>
      </c>
      <c r="M85" s="17" t="str">
        <f>IFERROR(VLOOKUP(B85,공휴일!B:C,2,0),"")</f>
        <v>한글날</v>
      </c>
    </row>
    <row r="86" spans="2:13" x14ac:dyDescent="0.3">
      <c r="B86" s="31">
        <v>46305</v>
      </c>
      <c r="C86" s="115" t="s">
        <v>17</v>
      </c>
      <c r="D86" s="116"/>
      <c r="E86" s="115" t="s">
        <v>11</v>
      </c>
      <c r="F86" s="116"/>
      <c r="G86" s="89"/>
      <c r="H86" s="28" t="str">
        <f>IF(WORKDAY(B86-1,1,공휴일!$B$4:$B$24)=B86,IF(WORKDAY(B86,1,공휴일!$B$4:$B$24)&lt;&gt;B86+1,"금요일","평일"),IF(WORKDAY(B86,1,공휴일!$B$4:$B$24)&lt;&gt;B86+1,"토요일","일요일"))</f>
        <v>토요일</v>
      </c>
      <c r="I86" s="125" t="str">
        <f t="shared" si="6"/>
        <v>2026-10</v>
      </c>
      <c r="J86" s="93" t="str">
        <f t="shared" si="7"/>
        <v>신혜원</v>
      </c>
      <c r="K86" s="93" t="str">
        <f t="shared" si="8"/>
        <v>장민우</v>
      </c>
      <c r="L86" s="16" t="str">
        <f t="shared" si="5"/>
        <v>토</v>
      </c>
      <c r="M86" s="17" t="str">
        <f>IFERROR(VLOOKUP(B86,공휴일!B:C,2,0),"")</f>
        <v/>
      </c>
    </row>
    <row r="87" spans="2:13" x14ac:dyDescent="0.3">
      <c r="B87" s="31">
        <v>46306</v>
      </c>
      <c r="C87" s="115" t="s">
        <v>40</v>
      </c>
      <c r="D87" s="116"/>
      <c r="E87" s="115" t="s">
        <v>19</v>
      </c>
      <c r="F87" s="116"/>
      <c r="G87" s="89"/>
      <c r="H87" s="28" t="str">
        <f>IF(WORKDAY(B87-1,1,공휴일!$B$4:$B$24)=B87,IF(WORKDAY(B87,1,공휴일!$B$4:$B$24)&lt;&gt;B87+1,"금요일","평일"),IF(WORKDAY(B87,1,공휴일!$B$4:$B$24)&lt;&gt;B87+1,"토요일","일요일"))</f>
        <v>일요일</v>
      </c>
      <c r="I87" s="125" t="str">
        <f t="shared" si="6"/>
        <v>2026-10</v>
      </c>
      <c r="J87" s="93" t="str">
        <f t="shared" si="7"/>
        <v>여철호</v>
      </c>
      <c r="K87" s="93" t="str">
        <f t="shared" si="8"/>
        <v>우정수</v>
      </c>
      <c r="L87" s="16" t="str">
        <f t="shared" si="5"/>
        <v>일</v>
      </c>
      <c r="M87" s="17" t="str">
        <f>IFERROR(VLOOKUP(B87,공휴일!B:C,2,0),"")</f>
        <v/>
      </c>
    </row>
    <row r="88" spans="2:13" x14ac:dyDescent="0.3">
      <c r="B88" s="31">
        <v>46307</v>
      </c>
      <c r="C88" s="115" t="s">
        <v>15</v>
      </c>
      <c r="D88" s="116"/>
      <c r="E88" s="115" t="s">
        <v>44</v>
      </c>
      <c r="F88" s="116"/>
      <c r="G88" s="89"/>
      <c r="H88" s="28" t="str">
        <f>IF(WORKDAY(B88-1,1,공휴일!$B$4:$B$24)=B88,IF(WORKDAY(B88,1,공휴일!$B$4:$B$24)&lt;&gt;B88+1,"금요일","평일"),IF(WORKDAY(B88,1,공휴일!$B$4:$B$24)&lt;&gt;B88+1,"토요일","일요일"))</f>
        <v>평일</v>
      </c>
      <c r="I88" s="125" t="str">
        <f t="shared" si="6"/>
        <v>2026-10</v>
      </c>
      <c r="J88" s="93" t="str">
        <f t="shared" si="7"/>
        <v>구민아</v>
      </c>
      <c r="K88" s="93" t="str">
        <f t="shared" si="8"/>
        <v>오기희</v>
      </c>
      <c r="L88" s="16" t="str">
        <f t="shared" si="5"/>
        <v>월</v>
      </c>
      <c r="M88" s="17" t="str">
        <f>IFERROR(VLOOKUP(B88,공휴일!B:C,2,0),"")</f>
        <v/>
      </c>
    </row>
    <row r="89" spans="2:13" x14ac:dyDescent="0.3">
      <c r="B89" s="31">
        <v>46308</v>
      </c>
      <c r="C89" s="115" t="s">
        <v>14</v>
      </c>
      <c r="D89" s="116"/>
      <c r="E89" s="115" t="s">
        <v>18</v>
      </c>
      <c r="F89" s="116"/>
      <c r="G89" s="89"/>
      <c r="H89" s="28" t="str">
        <f>IF(WORKDAY(B89-1,1,공휴일!$B$4:$B$24)=B89,IF(WORKDAY(B89,1,공휴일!$B$4:$B$24)&lt;&gt;B89+1,"금요일","평일"),IF(WORKDAY(B89,1,공휴일!$B$4:$B$24)&lt;&gt;B89+1,"토요일","일요일"))</f>
        <v>평일</v>
      </c>
      <c r="I89" s="125" t="str">
        <f t="shared" si="6"/>
        <v>2026-10</v>
      </c>
      <c r="J89" s="93" t="str">
        <f t="shared" si="7"/>
        <v>고석규</v>
      </c>
      <c r="K89" s="93" t="str">
        <f t="shared" si="8"/>
        <v>이승현</v>
      </c>
      <c r="L89" s="16" t="str">
        <f t="shared" si="5"/>
        <v>화</v>
      </c>
      <c r="M89" s="17" t="str">
        <f>IFERROR(VLOOKUP(B89,공휴일!B:C,2,0),"")</f>
        <v/>
      </c>
    </row>
    <row r="90" spans="2:13" x14ac:dyDescent="0.3">
      <c r="B90" s="31">
        <v>46309</v>
      </c>
      <c r="C90" s="115" t="s">
        <v>12</v>
      </c>
      <c r="D90" s="116"/>
      <c r="E90" s="115" t="s">
        <v>10</v>
      </c>
      <c r="F90" s="116"/>
      <c r="G90" s="89"/>
      <c r="H90" s="28" t="str">
        <f>IF(WORKDAY(B90-1,1,공휴일!$B$4:$B$24)=B90,IF(WORKDAY(B90,1,공휴일!$B$4:$B$24)&lt;&gt;B90+1,"금요일","평일"),IF(WORKDAY(B90,1,공휴일!$B$4:$B$24)&lt;&gt;B90+1,"토요일","일요일"))</f>
        <v>평일</v>
      </c>
      <c r="I90" s="125" t="str">
        <f t="shared" si="6"/>
        <v>2026-10</v>
      </c>
      <c r="J90" s="93" t="str">
        <f t="shared" si="7"/>
        <v>한문영</v>
      </c>
      <c r="K90" s="93" t="str">
        <f t="shared" si="8"/>
        <v>유진수</v>
      </c>
      <c r="L90" s="16" t="str">
        <f t="shared" si="5"/>
        <v>수</v>
      </c>
      <c r="M90" s="17" t="str">
        <f>IFERROR(VLOOKUP(B90,공휴일!B:C,2,0),"")</f>
        <v/>
      </c>
    </row>
    <row r="91" spans="2:13" x14ac:dyDescent="0.3">
      <c r="B91" s="31">
        <v>46310</v>
      </c>
      <c r="C91" s="115" t="s">
        <v>16</v>
      </c>
      <c r="D91" s="116"/>
      <c r="E91" s="115" t="s">
        <v>20</v>
      </c>
      <c r="F91" s="116"/>
      <c r="G91" s="89"/>
      <c r="H91" s="28" t="str">
        <f>IF(WORKDAY(B91-1,1,공휴일!$B$4:$B$24)=B91,IF(WORKDAY(B91,1,공휴일!$B$4:$B$24)&lt;&gt;B91+1,"금요일","평일"),IF(WORKDAY(B91,1,공휴일!$B$4:$B$24)&lt;&gt;B91+1,"토요일","일요일"))</f>
        <v>평일</v>
      </c>
      <c r="I91" s="125" t="str">
        <f t="shared" si="6"/>
        <v>2026-10</v>
      </c>
      <c r="J91" s="93" t="str">
        <f t="shared" si="7"/>
        <v>이현숙</v>
      </c>
      <c r="K91" s="93" t="str">
        <f t="shared" si="8"/>
        <v>이원철</v>
      </c>
      <c r="L91" s="16" t="str">
        <f t="shared" si="5"/>
        <v>목</v>
      </c>
      <c r="M91" s="17" t="str">
        <f>IFERROR(VLOOKUP(B91,공휴일!B:C,2,0),"")</f>
        <v/>
      </c>
    </row>
    <row r="92" spans="2:13" x14ac:dyDescent="0.3">
      <c r="B92" s="31">
        <v>46311</v>
      </c>
      <c r="C92" s="115" t="s">
        <v>13</v>
      </c>
      <c r="D92" s="116"/>
      <c r="E92" s="115" t="s">
        <v>21</v>
      </c>
      <c r="F92" s="116"/>
      <c r="G92" s="89"/>
      <c r="H92" s="28" t="str">
        <f>IF(WORKDAY(B92-1,1,공휴일!$B$4:$B$24)=B92,IF(WORKDAY(B92,1,공휴일!$B$4:$B$24)&lt;&gt;B92+1,"금요일","평일"),IF(WORKDAY(B92,1,공휴일!$B$4:$B$24)&lt;&gt;B92+1,"토요일","일요일"))</f>
        <v>금요일</v>
      </c>
      <c r="I92" s="125" t="str">
        <f t="shared" si="6"/>
        <v>2026-10</v>
      </c>
      <c r="J92" s="93" t="str">
        <f t="shared" si="7"/>
        <v>안지영</v>
      </c>
      <c r="K92" s="93" t="str">
        <f t="shared" si="8"/>
        <v>정찬웅</v>
      </c>
      <c r="L92" s="16" t="str">
        <f t="shared" si="5"/>
        <v>금</v>
      </c>
      <c r="M92" s="17" t="str">
        <f>IFERROR(VLOOKUP(B92,공휴일!B:C,2,0),"")</f>
        <v/>
      </c>
    </row>
    <row r="93" spans="2:13" x14ac:dyDescent="0.3">
      <c r="B93" s="31">
        <v>46312</v>
      </c>
      <c r="C93" s="115" t="s">
        <v>41</v>
      </c>
      <c r="D93" s="116"/>
      <c r="E93" s="115" t="s">
        <v>22</v>
      </c>
      <c r="F93" s="116"/>
      <c r="G93" s="89"/>
      <c r="H93" s="28" t="str">
        <f>IF(WORKDAY(B93-1,1,공휴일!$B$4:$B$24)=B93,IF(WORKDAY(B93,1,공휴일!$B$4:$B$24)&lt;&gt;B93+1,"금요일","평일"),IF(WORKDAY(B93,1,공휴일!$B$4:$B$24)&lt;&gt;B93+1,"토요일","일요일"))</f>
        <v>토요일</v>
      </c>
      <c r="I93" s="125" t="str">
        <f t="shared" si="6"/>
        <v>2026-10</v>
      </c>
      <c r="J93" s="93" t="str">
        <f t="shared" si="7"/>
        <v>송남철</v>
      </c>
      <c r="K93" s="93" t="str">
        <f t="shared" si="8"/>
        <v>서진호</v>
      </c>
      <c r="L93" s="16" t="str">
        <f t="shared" si="5"/>
        <v>토</v>
      </c>
      <c r="M93" s="17" t="str">
        <f>IFERROR(VLOOKUP(B93,공휴일!B:C,2,0),"")</f>
        <v/>
      </c>
    </row>
    <row r="94" spans="2:13" x14ac:dyDescent="0.3">
      <c r="B94" s="31">
        <v>46313</v>
      </c>
      <c r="C94" s="115" t="s">
        <v>17</v>
      </c>
      <c r="D94" s="116"/>
      <c r="E94" s="115" t="s">
        <v>11</v>
      </c>
      <c r="F94" s="116"/>
      <c r="G94" s="89"/>
      <c r="H94" s="28" t="str">
        <f>IF(WORKDAY(B94-1,1,공휴일!$B$4:$B$24)=B94,IF(WORKDAY(B94,1,공휴일!$B$4:$B$24)&lt;&gt;B94+1,"금요일","평일"),IF(WORKDAY(B94,1,공휴일!$B$4:$B$24)&lt;&gt;B94+1,"토요일","일요일"))</f>
        <v>일요일</v>
      </c>
      <c r="I94" s="125" t="str">
        <f t="shared" si="6"/>
        <v>2026-10</v>
      </c>
      <c r="J94" s="93" t="str">
        <f t="shared" si="7"/>
        <v>신혜원</v>
      </c>
      <c r="K94" s="93" t="str">
        <f t="shared" si="8"/>
        <v>장민우</v>
      </c>
      <c r="L94" s="16" t="str">
        <f t="shared" si="5"/>
        <v>일</v>
      </c>
      <c r="M94" s="17" t="str">
        <f>IFERROR(VLOOKUP(B94,공휴일!B:C,2,0),"")</f>
        <v/>
      </c>
    </row>
    <row r="95" spans="2:13" x14ac:dyDescent="0.3">
      <c r="B95" s="31">
        <v>46314</v>
      </c>
      <c r="C95" s="115" t="s">
        <v>40</v>
      </c>
      <c r="D95" s="116"/>
      <c r="E95" s="115" t="s">
        <v>19</v>
      </c>
      <c r="F95" s="116"/>
      <c r="G95" s="89"/>
      <c r="H95" s="28" t="str">
        <f>IF(WORKDAY(B95-1,1,공휴일!$B$4:$B$24)=B95,IF(WORKDAY(B95,1,공휴일!$B$4:$B$24)&lt;&gt;B95+1,"금요일","평일"),IF(WORKDAY(B95,1,공휴일!$B$4:$B$24)&lt;&gt;B95+1,"토요일","일요일"))</f>
        <v>평일</v>
      </c>
      <c r="I95" s="125" t="str">
        <f t="shared" si="6"/>
        <v>2026-10</v>
      </c>
      <c r="J95" s="93" t="str">
        <f t="shared" si="7"/>
        <v>여철호</v>
      </c>
      <c r="K95" s="93" t="str">
        <f t="shared" si="8"/>
        <v>우정수</v>
      </c>
      <c r="L95" s="16" t="str">
        <f t="shared" si="5"/>
        <v>월</v>
      </c>
      <c r="M95" s="17" t="str">
        <f>IFERROR(VLOOKUP(B95,공휴일!B:C,2,0),"")</f>
        <v/>
      </c>
    </row>
    <row r="96" spans="2:13" x14ac:dyDescent="0.3">
      <c r="B96" s="31">
        <v>46315</v>
      </c>
      <c r="C96" s="115" t="s">
        <v>15</v>
      </c>
      <c r="D96" s="116"/>
      <c r="E96" s="115" t="s">
        <v>44</v>
      </c>
      <c r="F96" s="116"/>
      <c r="G96" s="89"/>
      <c r="H96" s="28" t="str">
        <f>IF(WORKDAY(B96-1,1,공휴일!$B$4:$B$24)=B96,IF(WORKDAY(B96,1,공휴일!$B$4:$B$24)&lt;&gt;B96+1,"금요일","평일"),IF(WORKDAY(B96,1,공휴일!$B$4:$B$24)&lt;&gt;B96+1,"토요일","일요일"))</f>
        <v>평일</v>
      </c>
      <c r="I96" s="125" t="str">
        <f t="shared" si="6"/>
        <v>2026-10</v>
      </c>
      <c r="J96" s="93" t="str">
        <f t="shared" si="7"/>
        <v>구민아</v>
      </c>
      <c r="K96" s="93" t="str">
        <f t="shared" si="8"/>
        <v>오기희</v>
      </c>
      <c r="L96" s="16" t="str">
        <f t="shared" si="5"/>
        <v>화</v>
      </c>
      <c r="M96" s="17" t="str">
        <f>IFERROR(VLOOKUP(B96,공휴일!B:C,2,0),"")</f>
        <v/>
      </c>
    </row>
    <row r="97" spans="2:13" x14ac:dyDescent="0.3">
      <c r="B97" s="31">
        <v>46316</v>
      </c>
      <c r="C97" s="115" t="s">
        <v>14</v>
      </c>
      <c r="D97" s="116"/>
      <c r="E97" s="115" t="s">
        <v>18</v>
      </c>
      <c r="F97" s="116"/>
      <c r="G97" s="89"/>
      <c r="H97" s="28" t="str">
        <f>IF(WORKDAY(B97-1,1,공휴일!$B$4:$B$24)=B97,IF(WORKDAY(B97,1,공휴일!$B$4:$B$24)&lt;&gt;B97+1,"금요일","평일"),IF(WORKDAY(B97,1,공휴일!$B$4:$B$24)&lt;&gt;B97+1,"토요일","일요일"))</f>
        <v>평일</v>
      </c>
      <c r="I97" s="125" t="str">
        <f t="shared" si="6"/>
        <v>2026-10</v>
      </c>
      <c r="J97" s="93" t="str">
        <f t="shared" si="7"/>
        <v>고석규</v>
      </c>
      <c r="K97" s="93" t="str">
        <f t="shared" si="8"/>
        <v>이승현</v>
      </c>
      <c r="L97" s="16" t="str">
        <f t="shared" si="5"/>
        <v>수</v>
      </c>
      <c r="M97" s="17" t="str">
        <f>IFERROR(VLOOKUP(B97,공휴일!B:C,2,0),"")</f>
        <v/>
      </c>
    </row>
    <row r="98" spans="2:13" x14ac:dyDescent="0.3">
      <c r="B98" s="31">
        <v>46317</v>
      </c>
      <c r="C98" s="115" t="s">
        <v>12</v>
      </c>
      <c r="D98" s="116"/>
      <c r="E98" s="115" t="s">
        <v>10</v>
      </c>
      <c r="F98" s="116"/>
      <c r="G98" s="89"/>
      <c r="H98" s="28" t="str">
        <f>IF(WORKDAY(B98-1,1,공휴일!$B$4:$B$24)=B98,IF(WORKDAY(B98,1,공휴일!$B$4:$B$24)&lt;&gt;B98+1,"금요일","평일"),IF(WORKDAY(B98,1,공휴일!$B$4:$B$24)&lt;&gt;B98+1,"토요일","일요일"))</f>
        <v>평일</v>
      </c>
      <c r="I98" s="125" t="str">
        <f t="shared" si="6"/>
        <v>2026-10</v>
      </c>
      <c r="J98" s="93" t="str">
        <f t="shared" si="7"/>
        <v>한문영</v>
      </c>
      <c r="K98" s="93" t="str">
        <f t="shared" si="8"/>
        <v>유진수</v>
      </c>
      <c r="L98" s="16" t="str">
        <f t="shared" si="5"/>
        <v>목</v>
      </c>
      <c r="M98" s="17" t="str">
        <f>IFERROR(VLOOKUP(B98,공휴일!B:C,2,0),"")</f>
        <v/>
      </c>
    </row>
    <row r="99" spans="2:13" x14ac:dyDescent="0.3">
      <c r="B99" s="31">
        <v>46318</v>
      </c>
      <c r="C99" s="115" t="s">
        <v>16</v>
      </c>
      <c r="D99" s="116"/>
      <c r="E99" s="115" t="s">
        <v>20</v>
      </c>
      <c r="F99" s="116"/>
      <c r="G99" s="89"/>
      <c r="H99" s="28" t="str">
        <f>IF(WORKDAY(B99-1,1,공휴일!$B$4:$B$24)=B99,IF(WORKDAY(B99,1,공휴일!$B$4:$B$24)&lt;&gt;B99+1,"금요일","평일"),IF(WORKDAY(B99,1,공휴일!$B$4:$B$24)&lt;&gt;B99+1,"토요일","일요일"))</f>
        <v>금요일</v>
      </c>
      <c r="I99" s="125" t="str">
        <f t="shared" si="6"/>
        <v>2026-10</v>
      </c>
      <c r="J99" s="93" t="str">
        <f t="shared" si="7"/>
        <v>이현숙</v>
      </c>
      <c r="K99" s="93" t="str">
        <f t="shared" si="8"/>
        <v>이원철</v>
      </c>
      <c r="L99" s="16" t="str">
        <f t="shared" si="5"/>
        <v>금</v>
      </c>
      <c r="M99" s="17" t="str">
        <f>IFERROR(VLOOKUP(B99,공휴일!B:C,2,0),"")</f>
        <v/>
      </c>
    </row>
    <row r="100" spans="2:13" x14ac:dyDescent="0.3">
      <c r="B100" s="31">
        <v>46319</v>
      </c>
      <c r="C100" s="115" t="s">
        <v>13</v>
      </c>
      <c r="D100" s="116"/>
      <c r="E100" s="115" t="s">
        <v>21</v>
      </c>
      <c r="F100" s="116"/>
      <c r="G100" s="89"/>
      <c r="H100" s="28" t="str">
        <f>IF(WORKDAY(B100-1,1,공휴일!$B$4:$B$24)=B100,IF(WORKDAY(B100,1,공휴일!$B$4:$B$24)&lt;&gt;B100+1,"금요일","평일"),IF(WORKDAY(B100,1,공휴일!$B$4:$B$24)&lt;&gt;B100+1,"토요일","일요일"))</f>
        <v>토요일</v>
      </c>
      <c r="I100" s="125" t="str">
        <f t="shared" si="6"/>
        <v>2026-10</v>
      </c>
      <c r="J100" s="93" t="str">
        <f t="shared" si="7"/>
        <v>안지영</v>
      </c>
      <c r="K100" s="93" t="str">
        <f t="shared" si="8"/>
        <v>정찬웅</v>
      </c>
      <c r="L100" s="16" t="str">
        <f t="shared" si="5"/>
        <v>토</v>
      </c>
      <c r="M100" s="17" t="str">
        <f>IFERROR(VLOOKUP(B100,공휴일!B:C,2,0),"")</f>
        <v/>
      </c>
    </row>
    <row r="101" spans="2:13" x14ac:dyDescent="0.3">
      <c r="B101" s="31">
        <v>46320</v>
      </c>
      <c r="C101" s="115" t="s">
        <v>41</v>
      </c>
      <c r="D101" s="116"/>
      <c r="E101" s="115" t="s">
        <v>22</v>
      </c>
      <c r="F101" s="116"/>
      <c r="G101" s="89"/>
      <c r="H101" s="28" t="str">
        <f>IF(WORKDAY(B101-1,1,공휴일!$B$4:$B$24)=B101,IF(WORKDAY(B101,1,공휴일!$B$4:$B$24)&lt;&gt;B101+1,"금요일","평일"),IF(WORKDAY(B101,1,공휴일!$B$4:$B$24)&lt;&gt;B101+1,"토요일","일요일"))</f>
        <v>일요일</v>
      </c>
      <c r="I101" s="125" t="str">
        <f t="shared" si="6"/>
        <v>2026-10</v>
      </c>
      <c r="J101" s="93" t="str">
        <f t="shared" si="7"/>
        <v>송남철</v>
      </c>
      <c r="K101" s="93" t="str">
        <f t="shared" si="8"/>
        <v>서진호</v>
      </c>
      <c r="L101" s="16" t="str">
        <f t="shared" ref="L101:L132" si="9">TEXT(B101,"aaa")</f>
        <v>일</v>
      </c>
      <c r="M101" s="17" t="str">
        <f>IFERROR(VLOOKUP(B101,공휴일!B:C,2,0),"")</f>
        <v/>
      </c>
    </row>
    <row r="102" spans="2:13" x14ac:dyDescent="0.3">
      <c r="B102" s="31">
        <v>46321</v>
      </c>
      <c r="C102" s="115" t="s">
        <v>17</v>
      </c>
      <c r="D102" s="116"/>
      <c r="E102" s="115" t="s">
        <v>11</v>
      </c>
      <c r="F102" s="116"/>
      <c r="G102" s="89"/>
      <c r="H102" s="28" t="str">
        <f>IF(WORKDAY(B102-1,1,공휴일!$B$4:$B$24)=B102,IF(WORKDAY(B102,1,공휴일!$B$4:$B$24)&lt;&gt;B102+1,"금요일","평일"),IF(WORKDAY(B102,1,공휴일!$B$4:$B$24)&lt;&gt;B102+1,"토요일","일요일"))</f>
        <v>평일</v>
      </c>
      <c r="I102" s="125" t="str">
        <f t="shared" si="6"/>
        <v>2026-10</v>
      </c>
      <c r="J102" s="93" t="str">
        <f t="shared" si="7"/>
        <v>신혜원</v>
      </c>
      <c r="K102" s="93" t="str">
        <f t="shared" si="8"/>
        <v>장민우</v>
      </c>
      <c r="L102" s="16" t="str">
        <f t="shared" si="9"/>
        <v>월</v>
      </c>
      <c r="M102" s="17" t="str">
        <f>IFERROR(VLOOKUP(B102,공휴일!B:C,2,0),"")</f>
        <v/>
      </c>
    </row>
    <row r="103" spans="2:13" x14ac:dyDescent="0.3">
      <c r="B103" s="31">
        <v>46322</v>
      </c>
      <c r="C103" s="115" t="s">
        <v>40</v>
      </c>
      <c r="D103" s="116"/>
      <c r="E103" s="115" t="s">
        <v>19</v>
      </c>
      <c r="F103" s="116"/>
      <c r="G103" s="89"/>
      <c r="H103" s="28" t="str">
        <f>IF(WORKDAY(B103-1,1,공휴일!$B$4:$B$24)=B103,IF(WORKDAY(B103,1,공휴일!$B$4:$B$24)&lt;&gt;B103+1,"금요일","평일"),IF(WORKDAY(B103,1,공휴일!$B$4:$B$24)&lt;&gt;B103+1,"토요일","일요일"))</f>
        <v>평일</v>
      </c>
      <c r="I103" s="125" t="str">
        <f t="shared" si="6"/>
        <v>2026-10</v>
      </c>
      <c r="J103" s="93" t="str">
        <f t="shared" si="7"/>
        <v>여철호</v>
      </c>
      <c r="K103" s="93" t="str">
        <f t="shared" si="8"/>
        <v>우정수</v>
      </c>
      <c r="L103" s="16" t="str">
        <f t="shared" si="9"/>
        <v>화</v>
      </c>
      <c r="M103" s="17" t="str">
        <f>IFERROR(VLOOKUP(B103,공휴일!B:C,2,0),"")</f>
        <v/>
      </c>
    </row>
    <row r="104" spans="2:13" x14ac:dyDescent="0.3">
      <c r="B104" s="31">
        <v>46323</v>
      </c>
      <c r="C104" s="115" t="s">
        <v>15</v>
      </c>
      <c r="D104" s="116"/>
      <c r="E104" s="115" t="s">
        <v>44</v>
      </c>
      <c r="F104" s="116"/>
      <c r="G104" s="89"/>
      <c r="H104" s="28" t="str">
        <f>IF(WORKDAY(B104-1,1,공휴일!$B$4:$B$24)=B104,IF(WORKDAY(B104,1,공휴일!$B$4:$B$24)&lt;&gt;B104+1,"금요일","평일"),IF(WORKDAY(B104,1,공휴일!$B$4:$B$24)&lt;&gt;B104+1,"토요일","일요일"))</f>
        <v>평일</v>
      </c>
      <c r="I104" s="125" t="str">
        <f t="shared" si="6"/>
        <v>2026-10</v>
      </c>
      <c r="J104" s="93" t="str">
        <f t="shared" si="7"/>
        <v>구민아</v>
      </c>
      <c r="K104" s="93" t="str">
        <f t="shared" si="8"/>
        <v>오기희</v>
      </c>
      <c r="L104" s="16" t="str">
        <f t="shared" si="9"/>
        <v>수</v>
      </c>
      <c r="M104" s="17" t="str">
        <f>IFERROR(VLOOKUP(B104,공휴일!B:C,2,0),"")</f>
        <v/>
      </c>
    </row>
    <row r="105" spans="2:13" x14ac:dyDescent="0.3">
      <c r="B105" s="31">
        <v>46324</v>
      </c>
      <c r="C105" s="115" t="s">
        <v>14</v>
      </c>
      <c r="D105" s="116"/>
      <c r="E105" s="115" t="s">
        <v>18</v>
      </c>
      <c r="F105" s="116"/>
      <c r="G105" s="89"/>
      <c r="H105" s="28" t="str">
        <f>IF(WORKDAY(B105-1,1,공휴일!$B$4:$B$24)=B105,IF(WORKDAY(B105,1,공휴일!$B$4:$B$24)&lt;&gt;B105+1,"금요일","평일"),IF(WORKDAY(B105,1,공휴일!$B$4:$B$24)&lt;&gt;B105+1,"토요일","일요일"))</f>
        <v>평일</v>
      </c>
      <c r="I105" s="125" t="str">
        <f t="shared" si="6"/>
        <v>2026-10</v>
      </c>
      <c r="J105" s="93" t="str">
        <f t="shared" si="7"/>
        <v>고석규</v>
      </c>
      <c r="K105" s="93" t="str">
        <f t="shared" si="8"/>
        <v>이승현</v>
      </c>
      <c r="L105" s="16" t="str">
        <f t="shared" si="9"/>
        <v>목</v>
      </c>
      <c r="M105" s="17" t="str">
        <f>IFERROR(VLOOKUP(B105,공휴일!B:C,2,0),"")</f>
        <v/>
      </c>
    </row>
    <row r="106" spans="2:13" x14ac:dyDescent="0.3">
      <c r="B106" s="31">
        <v>46325</v>
      </c>
      <c r="C106" s="115" t="s">
        <v>12</v>
      </c>
      <c r="D106" s="116"/>
      <c r="E106" s="115" t="s">
        <v>10</v>
      </c>
      <c r="F106" s="116"/>
      <c r="G106" s="89"/>
      <c r="H106" s="28" t="str">
        <f>IF(WORKDAY(B106-1,1,공휴일!$B$4:$B$24)=B106,IF(WORKDAY(B106,1,공휴일!$B$4:$B$24)&lt;&gt;B106+1,"금요일","평일"),IF(WORKDAY(B106,1,공휴일!$B$4:$B$24)&lt;&gt;B106+1,"토요일","일요일"))</f>
        <v>금요일</v>
      </c>
      <c r="I106" s="125" t="str">
        <f t="shared" si="6"/>
        <v>2026-10</v>
      </c>
      <c r="J106" s="93" t="str">
        <f t="shared" si="7"/>
        <v>한문영</v>
      </c>
      <c r="K106" s="93" t="str">
        <f t="shared" si="8"/>
        <v>유진수</v>
      </c>
      <c r="L106" s="16" t="str">
        <f t="shared" si="9"/>
        <v>금</v>
      </c>
      <c r="M106" s="17" t="str">
        <f>IFERROR(VLOOKUP(B106,공휴일!B:C,2,0),"")</f>
        <v/>
      </c>
    </row>
    <row r="107" spans="2:13" x14ac:dyDescent="0.3">
      <c r="B107" s="31">
        <v>46326</v>
      </c>
      <c r="C107" s="115" t="s">
        <v>16</v>
      </c>
      <c r="D107" s="116"/>
      <c r="E107" s="115" t="s">
        <v>20</v>
      </c>
      <c r="F107" s="116"/>
      <c r="G107" s="89"/>
      <c r="H107" s="28" t="str">
        <f>IF(WORKDAY(B107-1,1,공휴일!$B$4:$B$24)=B107,IF(WORKDAY(B107,1,공휴일!$B$4:$B$24)&lt;&gt;B107+1,"금요일","평일"),IF(WORKDAY(B107,1,공휴일!$B$4:$B$24)&lt;&gt;B107+1,"토요일","일요일"))</f>
        <v>토요일</v>
      </c>
      <c r="I107" s="125" t="str">
        <f t="shared" si="6"/>
        <v>2026-10</v>
      </c>
      <c r="J107" s="93" t="str">
        <f t="shared" si="7"/>
        <v>이현숙</v>
      </c>
      <c r="K107" s="93" t="str">
        <f t="shared" si="8"/>
        <v>이원철</v>
      </c>
      <c r="L107" s="16" t="str">
        <f t="shared" si="9"/>
        <v>토</v>
      </c>
      <c r="M107" s="17" t="str">
        <f>IFERROR(VLOOKUP(B107,공휴일!B:C,2,0),"")</f>
        <v/>
      </c>
    </row>
    <row r="108" spans="2:13" x14ac:dyDescent="0.3">
      <c r="B108" s="31">
        <v>46327</v>
      </c>
      <c r="C108" s="117" t="s">
        <v>13</v>
      </c>
      <c r="D108" s="118"/>
      <c r="E108" s="117" t="s">
        <v>21</v>
      </c>
      <c r="F108" s="118"/>
      <c r="G108" s="89"/>
      <c r="H108" s="28" t="str">
        <f>IF(WORKDAY(B108-1,1,공휴일!$B$4:$B$24)=B108,IF(WORKDAY(B108,1,공휴일!$B$4:$B$24)&lt;&gt;B108+1,"금요일","평일"),IF(WORKDAY(B108,1,공휴일!$B$4:$B$24)&lt;&gt;B108+1,"토요일","일요일"))</f>
        <v>일요일</v>
      </c>
      <c r="I108" s="125" t="str">
        <f t="shared" si="6"/>
        <v>2026-11</v>
      </c>
      <c r="J108" s="93" t="str">
        <f t="shared" si="7"/>
        <v>안지영</v>
      </c>
      <c r="K108" s="93" t="str">
        <f t="shared" si="8"/>
        <v>정찬웅</v>
      </c>
      <c r="L108" s="16" t="str">
        <f t="shared" si="9"/>
        <v>일</v>
      </c>
      <c r="M108" s="17" t="str">
        <f>IFERROR(VLOOKUP(B108,공휴일!B:C,2,0),"")</f>
        <v/>
      </c>
    </row>
    <row r="109" spans="2:13" x14ac:dyDescent="0.3">
      <c r="B109" s="31">
        <v>46328</v>
      </c>
      <c r="C109" s="117" t="s">
        <v>41</v>
      </c>
      <c r="D109" s="118"/>
      <c r="E109" s="117" t="s">
        <v>22</v>
      </c>
      <c r="F109" s="118"/>
      <c r="G109" s="89"/>
      <c r="H109" s="28" t="str">
        <f>IF(WORKDAY(B109-1,1,공휴일!$B$4:$B$24)=B109,IF(WORKDAY(B109,1,공휴일!$B$4:$B$24)&lt;&gt;B109+1,"금요일","평일"),IF(WORKDAY(B109,1,공휴일!$B$4:$B$24)&lt;&gt;B109+1,"토요일","일요일"))</f>
        <v>평일</v>
      </c>
      <c r="I109" s="125" t="str">
        <f t="shared" si="6"/>
        <v>2026-11</v>
      </c>
      <c r="J109" s="93" t="str">
        <f t="shared" si="7"/>
        <v>송남철</v>
      </c>
      <c r="K109" s="93" t="str">
        <f t="shared" si="8"/>
        <v>서진호</v>
      </c>
      <c r="L109" s="16" t="str">
        <f t="shared" si="9"/>
        <v>월</v>
      </c>
      <c r="M109" s="17" t="str">
        <f>IFERROR(VLOOKUP(B109,공휴일!B:C,2,0),"")</f>
        <v/>
      </c>
    </row>
    <row r="110" spans="2:13" x14ac:dyDescent="0.3">
      <c r="B110" s="31">
        <v>46329</v>
      </c>
      <c r="C110" s="117" t="s">
        <v>17</v>
      </c>
      <c r="D110" s="118"/>
      <c r="E110" s="117" t="s">
        <v>11</v>
      </c>
      <c r="F110" s="118"/>
      <c r="G110" s="89"/>
      <c r="H110" s="28" t="str">
        <f>IF(WORKDAY(B110-1,1,공휴일!$B$4:$B$24)=B110,IF(WORKDAY(B110,1,공휴일!$B$4:$B$24)&lt;&gt;B110+1,"금요일","평일"),IF(WORKDAY(B110,1,공휴일!$B$4:$B$24)&lt;&gt;B110+1,"토요일","일요일"))</f>
        <v>평일</v>
      </c>
      <c r="I110" s="125" t="str">
        <f t="shared" si="6"/>
        <v>2026-11</v>
      </c>
      <c r="J110" s="93" t="str">
        <f t="shared" si="7"/>
        <v>신혜원</v>
      </c>
      <c r="K110" s="93" t="str">
        <f t="shared" si="8"/>
        <v>장민우</v>
      </c>
      <c r="L110" s="16" t="str">
        <f t="shared" si="9"/>
        <v>화</v>
      </c>
      <c r="M110" s="17" t="str">
        <f>IFERROR(VLOOKUP(B110,공휴일!B:C,2,0),"")</f>
        <v/>
      </c>
    </row>
    <row r="111" spans="2:13" x14ac:dyDescent="0.3">
      <c r="B111" s="31">
        <v>46330</v>
      </c>
      <c r="C111" s="117" t="s">
        <v>40</v>
      </c>
      <c r="D111" s="118"/>
      <c r="E111" s="117" t="s">
        <v>19</v>
      </c>
      <c r="F111" s="118"/>
      <c r="G111" s="89"/>
      <c r="H111" s="28" t="str">
        <f>IF(WORKDAY(B111-1,1,공휴일!$B$4:$B$24)=B111,IF(WORKDAY(B111,1,공휴일!$B$4:$B$24)&lt;&gt;B111+1,"금요일","평일"),IF(WORKDAY(B111,1,공휴일!$B$4:$B$24)&lt;&gt;B111+1,"토요일","일요일"))</f>
        <v>평일</v>
      </c>
      <c r="I111" s="125" t="str">
        <f t="shared" si="6"/>
        <v>2026-11</v>
      </c>
      <c r="J111" s="93" t="str">
        <f t="shared" si="7"/>
        <v>여철호</v>
      </c>
      <c r="K111" s="93" t="str">
        <f t="shared" si="8"/>
        <v>우정수</v>
      </c>
      <c r="L111" s="16" t="str">
        <f t="shared" si="9"/>
        <v>수</v>
      </c>
      <c r="M111" s="17" t="str">
        <f>IFERROR(VLOOKUP(B111,공휴일!B:C,2,0),"")</f>
        <v/>
      </c>
    </row>
    <row r="112" spans="2:13" x14ac:dyDescent="0.3">
      <c r="B112" s="31">
        <v>46331</v>
      </c>
      <c r="C112" s="117" t="s">
        <v>15</v>
      </c>
      <c r="D112" s="118"/>
      <c r="E112" s="117" t="s">
        <v>44</v>
      </c>
      <c r="F112" s="118"/>
      <c r="G112" s="89"/>
      <c r="H112" s="28" t="str">
        <f>IF(WORKDAY(B112-1,1,공휴일!$B$4:$B$24)=B112,IF(WORKDAY(B112,1,공휴일!$B$4:$B$24)&lt;&gt;B112+1,"금요일","평일"),IF(WORKDAY(B112,1,공휴일!$B$4:$B$24)&lt;&gt;B112+1,"토요일","일요일"))</f>
        <v>평일</v>
      </c>
      <c r="I112" s="125" t="str">
        <f t="shared" si="6"/>
        <v>2026-11</v>
      </c>
      <c r="J112" s="93" t="str">
        <f t="shared" si="7"/>
        <v>구민아</v>
      </c>
      <c r="K112" s="93" t="str">
        <f t="shared" si="8"/>
        <v>오기희</v>
      </c>
      <c r="L112" s="16" t="str">
        <f t="shared" si="9"/>
        <v>목</v>
      </c>
      <c r="M112" s="17" t="str">
        <f>IFERROR(VLOOKUP(B112,공휴일!B:C,2,0),"")</f>
        <v/>
      </c>
    </row>
    <row r="113" spans="2:13" x14ac:dyDescent="0.3">
      <c r="B113" s="31">
        <v>46332</v>
      </c>
      <c r="C113" s="117" t="s">
        <v>14</v>
      </c>
      <c r="D113" s="118"/>
      <c r="E113" s="117" t="s">
        <v>18</v>
      </c>
      <c r="F113" s="118"/>
      <c r="G113" s="89"/>
      <c r="H113" s="28" t="str">
        <f>IF(WORKDAY(B113-1,1,공휴일!$B$4:$B$24)=B113,IF(WORKDAY(B113,1,공휴일!$B$4:$B$24)&lt;&gt;B113+1,"금요일","평일"),IF(WORKDAY(B113,1,공휴일!$B$4:$B$24)&lt;&gt;B113+1,"토요일","일요일"))</f>
        <v>금요일</v>
      </c>
      <c r="I113" s="125" t="str">
        <f t="shared" si="6"/>
        <v>2026-11</v>
      </c>
      <c r="J113" s="93" t="str">
        <f t="shared" si="7"/>
        <v>고석규</v>
      </c>
      <c r="K113" s="93" t="str">
        <f t="shared" si="8"/>
        <v>이승현</v>
      </c>
      <c r="L113" s="16" t="str">
        <f t="shared" si="9"/>
        <v>금</v>
      </c>
      <c r="M113" s="17" t="str">
        <f>IFERROR(VLOOKUP(B113,공휴일!B:C,2,0),"")</f>
        <v/>
      </c>
    </row>
    <row r="114" spans="2:13" x14ac:dyDescent="0.3">
      <c r="B114" s="31">
        <v>46333</v>
      </c>
      <c r="C114" s="117" t="s">
        <v>12</v>
      </c>
      <c r="D114" s="118"/>
      <c r="E114" s="117" t="s">
        <v>10</v>
      </c>
      <c r="F114" s="118"/>
      <c r="G114" s="89"/>
      <c r="H114" s="28" t="str">
        <f>IF(WORKDAY(B114-1,1,공휴일!$B$4:$B$24)=B114,IF(WORKDAY(B114,1,공휴일!$B$4:$B$24)&lt;&gt;B114+1,"금요일","평일"),IF(WORKDAY(B114,1,공휴일!$B$4:$B$24)&lt;&gt;B114+1,"토요일","일요일"))</f>
        <v>토요일</v>
      </c>
      <c r="I114" s="125" t="str">
        <f t="shared" si="6"/>
        <v>2026-11</v>
      </c>
      <c r="J114" s="93" t="str">
        <f t="shared" si="7"/>
        <v>한문영</v>
      </c>
      <c r="K114" s="93" t="str">
        <f t="shared" si="8"/>
        <v>유진수</v>
      </c>
      <c r="L114" s="16" t="str">
        <f t="shared" si="9"/>
        <v>토</v>
      </c>
      <c r="M114" s="17" t="str">
        <f>IFERROR(VLOOKUP(B114,공휴일!B:C,2,0),"")</f>
        <v/>
      </c>
    </row>
    <row r="115" spans="2:13" x14ac:dyDescent="0.3">
      <c r="B115" s="31">
        <v>46334</v>
      </c>
      <c r="C115" s="117" t="s">
        <v>16</v>
      </c>
      <c r="D115" s="118"/>
      <c r="E115" s="117" t="s">
        <v>20</v>
      </c>
      <c r="F115" s="118"/>
      <c r="G115" s="89"/>
      <c r="H115" s="28" t="str">
        <f>IF(WORKDAY(B115-1,1,공휴일!$B$4:$B$24)=B115,IF(WORKDAY(B115,1,공휴일!$B$4:$B$24)&lt;&gt;B115+1,"금요일","평일"),IF(WORKDAY(B115,1,공휴일!$B$4:$B$24)&lt;&gt;B115+1,"토요일","일요일"))</f>
        <v>일요일</v>
      </c>
      <c r="I115" s="125" t="str">
        <f t="shared" si="6"/>
        <v>2026-11</v>
      </c>
      <c r="J115" s="93" t="str">
        <f t="shared" si="7"/>
        <v>이현숙</v>
      </c>
      <c r="K115" s="93" t="str">
        <f t="shared" si="8"/>
        <v>이원철</v>
      </c>
      <c r="L115" s="16" t="str">
        <f t="shared" si="9"/>
        <v>일</v>
      </c>
      <c r="M115" s="17" t="str">
        <f>IFERROR(VLOOKUP(B115,공휴일!B:C,2,0),"")</f>
        <v/>
      </c>
    </row>
    <row r="116" spans="2:13" x14ac:dyDescent="0.3">
      <c r="B116" s="31">
        <v>46335</v>
      </c>
      <c r="C116" s="117" t="s">
        <v>13</v>
      </c>
      <c r="D116" s="118"/>
      <c r="E116" s="117" t="s">
        <v>21</v>
      </c>
      <c r="F116" s="118"/>
      <c r="G116" s="89"/>
      <c r="H116" s="28" t="str">
        <f>IF(WORKDAY(B116-1,1,공휴일!$B$4:$B$24)=B116,IF(WORKDAY(B116,1,공휴일!$B$4:$B$24)&lt;&gt;B116+1,"금요일","평일"),IF(WORKDAY(B116,1,공휴일!$B$4:$B$24)&lt;&gt;B116+1,"토요일","일요일"))</f>
        <v>평일</v>
      </c>
      <c r="I116" s="125" t="str">
        <f t="shared" si="6"/>
        <v>2026-11</v>
      </c>
      <c r="J116" s="93" t="str">
        <f t="shared" si="7"/>
        <v>안지영</v>
      </c>
      <c r="K116" s="93" t="str">
        <f t="shared" si="8"/>
        <v>정찬웅</v>
      </c>
      <c r="L116" s="16" t="str">
        <f t="shared" si="9"/>
        <v>월</v>
      </c>
      <c r="M116" s="17" t="str">
        <f>IFERROR(VLOOKUP(B116,공휴일!B:C,2,0),"")</f>
        <v/>
      </c>
    </row>
    <row r="117" spans="2:13" x14ac:dyDescent="0.3">
      <c r="B117" s="31">
        <v>46336</v>
      </c>
      <c r="C117" s="117" t="s">
        <v>41</v>
      </c>
      <c r="D117" s="118"/>
      <c r="E117" s="117" t="s">
        <v>22</v>
      </c>
      <c r="F117" s="118"/>
      <c r="G117" s="89"/>
      <c r="H117" s="28" t="str">
        <f>IF(WORKDAY(B117-1,1,공휴일!$B$4:$B$24)=B117,IF(WORKDAY(B117,1,공휴일!$B$4:$B$24)&lt;&gt;B117+1,"금요일","평일"),IF(WORKDAY(B117,1,공휴일!$B$4:$B$24)&lt;&gt;B117+1,"토요일","일요일"))</f>
        <v>평일</v>
      </c>
      <c r="I117" s="125" t="str">
        <f t="shared" si="6"/>
        <v>2026-11</v>
      </c>
      <c r="J117" s="93" t="str">
        <f t="shared" si="7"/>
        <v>송남철</v>
      </c>
      <c r="K117" s="93" t="str">
        <f t="shared" si="8"/>
        <v>서진호</v>
      </c>
      <c r="L117" s="16" t="str">
        <f t="shared" si="9"/>
        <v>화</v>
      </c>
      <c r="M117" s="17" t="str">
        <f>IFERROR(VLOOKUP(B117,공휴일!B:C,2,0),"")</f>
        <v/>
      </c>
    </row>
    <row r="118" spans="2:13" x14ac:dyDescent="0.3">
      <c r="B118" s="31">
        <v>46337</v>
      </c>
      <c r="C118" s="117" t="s">
        <v>17</v>
      </c>
      <c r="D118" s="118"/>
      <c r="E118" s="117" t="s">
        <v>11</v>
      </c>
      <c r="F118" s="118"/>
      <c r="G118" s="89"/>
      <c r="H118" s="28" t="str">
        <f>IF(WORKDAY(B118-1,1,공휴일!$B$4:$B$24)=B118,IF(WORKDAY(B118,1,공휴일!$B$4:$B$24)&lt;&gt;B118+1,"금요일","평일"),IF(WORKDAY(B118,1,공휴일!$B$4:$B$24)&lt;&gt;B118+1,"토요일","일요일"))</f>
        <v>평일</v>
      </c>
      <c r="I118" s="125" t="str">
        <f t="shared" si="6"/>
        <v>2026-11</v>
      </c>
      <c r="J118" s="93" t="str">
        <f t="shared" si="7"/>
        <v>신혜원</v>
      </c>
      <c r="K118" s="93" t="str">
        <f t="shared" si="8"/>
        <v>장민우</v>
      </c>
      <c r="L118" s="16" t="str">
        <f t="shared" si="9"/>
        <v>수</v>
      </c>
      <c r="M118" s="17" t="str">
        <f>IFERROR(VLOOKUP(B118,공휴일!B:C,2,0),"")</f>
        <v/>
      </c>
    </row>
    <row r="119" spans="2:13" x14ac:dyDescent="0.3">
      <c r="B119" s="31">
        <v>46338</v>
      </c>
      <c r="C119" s="117" t="s">
        <v>40</v>
      </c>
      <c r="D119" s="118"/>
      <c r="E119" s="117" t="s">
        <v>19</v>
      </c>
      <c r="F119" s="118"/>
      <c r="G119" s="89"/>
      <c r="H119" s="28" t="str">
        <f>IF(WORKDAY(B119-1,1,공휴일!$B$4:$B$24)=B119,IF(WORKDAY(B119,1,공휴일!$B$4:$B$24)&lt;&gt;B119+1,"금요일","평일"),IF(WORKDAY(B119,1,공휴일!$B$4:$B$24)&lt;&gt;B119+1,"토요일","일요일"))</f>
        <v>평일</v>
      </c>
      <c r="I119" s="125" t="str">
        <f t="shared" si="6"/>
        <v>2026-11</v>
      </c>
      <c r="J119" s="93" t="str">
        <f t="shared" si="7"/>
        <v>여철호</v>
      </c>
      <c r="K119" s="93" t="str">
        <f t="shared" si="8"/>
        <v>우정수</v>
      </c>
      <c r="L119" s="16" t="str">
        <f t="shared" si="9"/>
        <v>목</v>
      </c>
      <c r="M119" s="17" t="str">
        <f>IFERROR(VLOOKUP(B119,공휴일!B:C,2,0),"")</f>
        <v/>
      </c>
    </row>
    <row r="120" spans="2:13" x14ac:dyDescent="0.3">
      <c r="B120" s="31">
        <v>46339</v>
      </c>
      <c r="C120" s="117" t="s">
        <v>15</v>
      </c>
      <c r="D120" s="118"/>
      <c r="E120" s="117" t="s">
        <v>44</v>
      </c>
      <c r="F120" s="118"/>
      <c r="G120" s="89"/>
      <c r="H120" s="28" t="str">
        <f>IF(WORKDAY(B120-1,1,공휴일!$B$4:$B$24)=B120,IF(WORKDAY(B120,1,공휴일!$B$4:$B$24)&lt;&gt;B120+1,"금요일","평일"),IF(WORKDAY(B120,1,공휴일!$B$4:$B$24)&lt;&gt;B120+1,"토요일","일요일"))</f>
        <v>금요일</v>
      </c>
      <c r="I120" s="125" t="str">
        <f t="shared" si="6"/>
        <v>2026-11</v>
      </c>
      <c r="J120" s="93" t="str">
        <f t="shared" si="7"/>
        <v>구민아</v>
      </c>
      <c r="K120" s="93" t="str">
        <f t="shared" si="8"/>
        <v>오기희</v>
      </c>
      <c r="L120" s="16" t="str">
        <f t="shared" si="9"/>
        <v>금</v>
      </c>
      <c r="M120" s="17" t="str">
        <f>IFERROR(VLOOKUP(B120,공휴일!B:C,2,0),"")</f>
        <v/>
      </c>
    </row>
    <row r="121" spans="2:13" x14ac:dyDescent="0.3">
      <c r="B121" s="31">
        <v>46340</v>
      </c>
      <c r="C121" s="117" t="s">
        <v>14</v>
      </c>
      <c r="D121" s="118"/>
      <c r="E121" s="117" t="s">
        <v>18</v>
      </c>
      <c r="F121" s="118"/>
      <c r="G121" s="89"/>
      <c r="H121" s="28" t="str">
        <f>IF(WORKDAY(B121-1,1,공휴일!$B$4:$B$24)=B121,IF(WORKDAY(B121,1,공휴일!$B$4:$B$24)&lt;&gt;B121+1,"금요일","평일"),IF(WORKDAY(B121,1,공휴일!$B$4:$B$24)&lt;&gt;B121+1,"토요일","일요일"))</f>
        <v>토요일</v>
      </c>
      <c r="I121" s="125" t="str">
        <f t="shared" si="6"/>
        <v>2026-11</v>
      </c>
      <c r="J121" s="93" t="str">
        <f t="shared" si="7"/>
        <v>고석규</v>
      </c>
      <c r="K121" s="93" t="str">
        <f t="shared" si="8"/>
        <v>이승현</v>
      </c>
      <c r="L121" s="16" t="str">
        <f t="shared" si="9"/>
        <v>토</v>
      </c>
      <c r="M121" s="17" t="str">
        <f>IFERROR(VLOOKUP(B121,공휴일!B:C,2,0),"")</f>
        <v/>
      </c>
    </row>
    <row r="122" spans="2:13" x14ac:dyDescent="0.3">
      <c r="B122" s="31">
        <v>46341</v>
      </c>
      <c r="C122" s="117" t="s">
        <v>12</v>
      </c>
      <c r="D122" s="118"/>
      <c r="E122" s="117" t="s">
        <v>10</v>
      </c>
      <c r="F122" s="118"/>
      <c r="G122" s="89"/>
      <c r="H122" s="28" t="str">
        <f>IF(WORKDAY(B122-1,1,공휴일!$B$4:$B$24)=B122,IF(WORKDAY(B122,1,공휴일!$B$4:$B$24)&lt;&gt;B122+1,"금요일","평일"),IF(WORKDAY(B122,1,공휴일!$B$4:$B$24)&lt;&gt;B122+1,"토요일","일요일"))</f>
        <v>일요일</v>
      </c>
      <c r="I122" s="125" t="str">
        <f t="shared" si="6"/>
        <v>2026-11</v>
      </c>
      <c r="J122" s="93" t="str">
        <f t="shared" si="7"/>
        <v>한문영</v>
      </c>
      <c r="K122" s="93" t="str">
        <f t="shared" si="8"/>
        <v>유진수</v>
      </c>
      <c r="L122" s="16" t="str">
        <f t="shared" si="9"/>
        <v>일</v>
      </c>
      <c r="M122" s="17" t="str">
        <f>IFERROR(VLOOKUP(B122,공휴일!B:C,2,0),"")</f>
        <v/>
      </c>
    </row>
    <row r="123" spans="2:13" x14ac:dyDescent="0.3">
      <c r="B123" s="31">
        <v>46342</v>
      </c>
      <c r="C123" s="117" t="s">
        <v>16</v>
      </c>
      <c r="D123" s="118"/>
      <c r="E123" s="117" t="s">
        <v>20</v>
      </c>
      <c r="F123" s="118"/>
      <c r="G123" s="89"/>
      <c r="H123" s="28" t="str">
        <f>IF(WORKDAY(B123-1,1,공휴일!$B$4:$B$24)=B123,IF(WORKDAY(B123,1,공휴일!$B$4:$B$24)&lt;&gt;B123+1,"금요일","평일"),IF(WORKDAY(B123,1,공휴일!$B$4:$B$24)&lt;&gt;B123+1,"토요일","일요일"))</f>
        <v>평일</v>
      </c>
      <c r="I123" s="125" t="str">
        <f t="shared" si="6"/>
        <v>2026-11</v>
      </c>
      <c r="J123" s="93" t="str">
        <f t="shared" si="7"/>
        <v>이현숙</v>
      </c>
      <c r="K123" s="93" t="str">
        <f t="shared" si="8"/>
        <v>이원철</v>
      </c>
      <c r="L123" s="16" t="str">
        <f t="shared" si="9"/>
        <v>월</v>
      </c>
      <c r="M123" s="17" t="str">
        <f>IFERROR(VLOOKUP(B123,공휴일!B:C,2,0),"")</f>
        <v/>
      </c>
    </row>
    <row r="124" spans="2:13" x14ac:dyDescent="0.3">
      <c r="B124" s="31">
        <v>46343</v>
      </c>
      <c r="C124" s="117" t="s">
        <v>13</v>
      </c>
      <c r="D124" s="118"/>
      <c r="E124" s="117" t="s">
        <v>21</v>
      </c>
      <c r="F124" s="118"/>
      <c r="G124" s="89"/>
      <c r="H124" s="28" t="str">
        <f>IF(WORKDAY(B124-1,1,공휴일!$B$4:$B$24)=B124,IF(WORKDAY(B124,1,공휴일!$B$4:$B$24)&lt;&gt;B124+1,"금요일","평일"),IF(WORKDAY(B124,1,공휴일!$B$4:$B$24)&lt;&gt;B124+1,"토요일","일요일"))</f>
        <v>평일</v>
      </c>
      <c r="I124" s="125" t="str">
        <f t="shared" si="6"/>
        <v>2026-11</v>
      </c>
      <c r="J124" s="93" t="str">
        <f t="shared" si="7"/>
        <v>안지영</v>
      </c>
      <c r="K124" s="93" t="str">
        <f t="shared" si="8"/>
        <v>정찬웅</v>
      </c>
      <c r="L124" s="16" t="str">
        <f t="shared" si="9"/>
        <v>화</v>
      </c>
      <c r="M124" s="17" t="str">
        <f>IFERROR(VLOOKUP(B124,공휴일!B:C,2,0),"")</f>
        <v/>
      </c>
    </row>
    <row r="125" spans="2:13" x14ac:dyDescent="0.3">
      <c r="B125" s="31">
        <v>46344</v>
      </c>
      <c r="C125" s="117" t="s">
        <v>41</v>
      </c>
      <c r="D125" s="118"/>
      <c r="E125" s="117" t="s">
        <v>22</v>
      </c>
      <c r="F125" s="118"/>
      <c r="G125" s="89"/>
      <c r="H125" s="28" t="str">
        <f>IF(WORKDAY(B125-1,1,공휴일!$B$4:$B$24)=B125,IF(WORKDAY(B125,1,공휴일!$B$4:$B$24)&lt;&gt;B125+1,"금요일","평일"),IF(WORKDAY(B125,1,공휴일!$B$4:$B$24)&lt;&gt;B125+1,"토요일","일요일"))</f>
        <v>평일</v>
      </c>
      <c r="I125" s="125" t="str">
        <f t="shared" si="6"/>
        <v>2026-11</v>
      </c>
      <c r="J125" s="93" t="str">
        <f t="shared" si="7"/>
        <v>송남철</v>
      </c>
      <c r="K125" s="93" t="str">
        <f t="shared" si="8"/>
        <v>서진호</v>
      </c>
      <c r="L125" s="16" t="str">
        <f t="shared" si="9"/>
        <v>수</v>
      </c>
      <c r="M125" s="17" t="str">
        <f>IFERROR(VLOOKUP(B125,공휴일!B:C,2,0),"")</f>
        <v/>
      </c>
    </row>
    <row r="126" spans="2:13" x14ac:dyDescent="0.3">
      <c r="B126" s="31">
        <v>46345</v>
      </c>
      <c r="C126" s="117" t="s">
        <v>17</v>
      </c>
      <c r="D126" s="118"/>
      <c r="E126" s="117" t="s">
        <v>11</v>
      </c>
      <c r="F126" s="118"/>
      <c r="G126" s="89"/>
      <c r="H126" s="28" t="str">
        <f>IF(WORKDAY(B126-1,1,공휴일!$B$4:$B$24)=B126,IF(WORKDAY(B126,1,공휴일!$B$4:$B$24)&lt;&gt;B126+1,"금요일","평일"),IF(WORKDAY(B126,1,공휴일!$B$4:$B$24)&lt;&gt;B126+1,"토요일","일요일"))</f>
        <v>평일</v>
      </c>
      <c r="I126" s="125" t="str">
        <f t="shared" si="6"/>
        <v>2026-11</v>
      </c>
      <c r="J126" s="93" t="str">
        <f t="shared" si="7"/>
        <v>신혜원</v>
      </c>
      <c r="K126" s="93" t="str">
        <f t="shared" si="8"/>
        <v>장민우</v>
      </c>
      <c r="L126" s="16" t="str">
        <f t="shared" si="9"/>
        <v>목</v>
      </c>
      <c r="M126" s="17" t="str">
        <f>IFERROR(VLOOKUP(B126,공휴일!B:C,2,0),"")</f>
        <v/>
      </c>
    </row>
    <row r="127" spans="2:13" x14ac:dyDescent="0.3">
      <c r="B127" s="31">
        <v>46346</v>
      </c>
      <c r="C127" s="117" t="s">
        <v>40</v>
      </c>
      <c r="D127" s="118"/>
      <c r="E127" s="117" t="s">
        <v>19</v>
      </c>
      <c r="F127" s="118"/>
      <c r="G127" s="89"/>
      <c r="H127" s="28" t="str">
        <f>IF(WORKDAY(B127-1,1,공휴일!$B$4:$B$24)=B127,IF(WORKDAY(B127,1,공휴일!$B$4:$B$24)&lt;&gt;B127+1,"금요일","평일"),IF(WORKDAY(B127,1,공휴일!$B$4:$B$24)&lt;&gt;B127+1,"토요일","일요일"))</f>
        <v>금요일</v>
      </c>
      <c r="I127" s="125" t="str">
        <f t="shared" si="6"/>
        <v>2026-11</v>
      </c>
      <c r="J127" s="93" t="str">
        <f t="shared" si="7"/>
        <v>여철호</v>
      </c>
      <c r="K127" s="93" t="str">
        <f t="shared" si="8"/>
        <v>우정수</v>
      </c>
      <c r="L127" s="16" t="str">
        <f t="shared" si="9"/>
        <v>금</v>
      </c>
      <c r="M127" s="17" t="str">
        <f>IFERROR(VLOOKUP(B127,공휴일!B:C,2,0),"")</f>
        <v/>
      </c>
    </row>
    <row r="128" spans="2:13" x14ac:dyDescent="0.3">
      <c r="B128" s="31">
        <v>46347</v>
      </c>
      <c r="C128" s="117" t="s">
        <v>15</v>
      </c>
      <c r="D128" s="118"/>
      <c r="E128" s="117" t="s">
        <v>44</v>
      </c>
      <c r="F128" s="118"/>
      <c r="G128" s="89"/>
      <c r="H128" s="28" t="str">
        <f>IF(WORKDAY(B128-1,1,공휴일!$B$4:$B$24)=B128,IF(WORKDAY(B128,1,공휴일!$B$4:$B$24)&lt;&gt;B128+1,"금요일","평일"),IF(WORKDAY(B128,1,공휴일!$B$4:$B$24)&lt;&gt;B128+1,"토요일","일요일"))</f>
        <v>토요일</v>
      </c>
      <c r="I128" s="125" t="str">
        <f t="shared" si="6"/>
        <v>2026-11</v>
      </c>
      <c r="J128" s="93" t="str">
        <f t="shared" si="7"/>
        <v>구민아</v>
      </c>
      <c r="K128" s="93" t="str">
        <f t="shared" si="8"/>
        <v>오기희</v>
      </c>
      <c r="L128" s="16" t="str">
        <f t="shared" si="9"/>
        <v>토</v>
      </c>
      <c r="M128" s="17" t="str">
        <f>IFERROR(VLOOKUP(B128,공휴일!B:C,2,0),"")</f>
        <v/>
      </c>
    </row>
    <row r="129" spans="2:13" x14ac:dyDescent="0.3">
      <c r="B129" s="31">
        <v>46348</v>
      </c>
      <c r="C129" s="117" t="s">
        <v>14</v>
      </c>
      <c r="D129" s="118"/>
      <c r="E129" s="117" t="s">
        <v>18</v>
      </c>
      <c r="F129" s="118"/>
      <c r="G129" s="89"/>
      <c r="H129" s="28" t="str">
        <f>IF(WORKDAY(B129-1,1,공휴일!$B$4:$B$24)=B129,IF(WORKDAY(B129,1,공휴일!$B$4:$B$24)&lt;&gt;B129+1,"금요일","평일"),IF(WORKDAY(B129,1,공휴일!$B$4:$B$24)&lt;&gt;B129+1,"토요일","일요일"))</f>
        <v>일요일</v>
      </c>
      <c r="I129" s="125" t="str">
        <f t="shared" si="6"/>
        <v>2026-11</v>
      </c>
      <c r="J129" s="93" t="str">
        <f t="shared" si="7"/>
        <v>고석규</v>
      </c>
      <c r="K129" s="93" t="str">
        <f t="shared" si="8"/>
        <v>이승현</v>
      </c>
      <c r="L129" s="16" t="str">
        <f t="shared" si="9"/>
        <v>일</v>
      </c>
      <c r="M129" s="17" t="str">
        <f>IFERROR(VLOOKUP(B129,공휴일!B:C,2,0),"")</f>
        <v/>
      </c>
    </row>
    <row r="130" spans="2:13" x14ac:dyDescent="0.3">
      <c r="B130" s="31">
        <v>46349</v>
      </c>
      <c r="C130" s="117" t="s">
        <v>12</v>
      </c>
      <c r="D130" s="118"/>
      <c r="E130" s="117" t="s">
        <v>10</v>
      </c>
      <c r="F130" s="118"/>
      <c r="G130" s="89"/>
      <c r="H130" s="28" t="str">
        <f>IF(WORKDAY(B130-1,1,공휴일!$B$4:$B$24)=B130,IF(WORKDAY(B130,1,공휴일!$B$4:$B$24)&lt;&gt;B130+1,"금요일","평일"),IF(WORKDAY(B130,1,공휴일!$B$4:$B$24)&lt;&gt;B130+1,"토요일","일요일"))</f>
        <v>평일</v>
      </c>
      <c r="I130" s="125" t="str">
        <f t="shared" si="6"/>
        <v>2026-11</v>
      </c>
      <c r="J130" s="93" t="str">
        <f t="shared" si="7"/>
        <v>한문영</v>
      </c>
      <c r="K130" s="93" t="str">
        <f t="shared" si="8"/>
        <v>유진수</v>
      </c>
      <c r="L130" s="16" t="str">
        <f t="shared" si="9"/>
        <v>월</v>
      </c>
      <c r="M130" s="17" t="str">
        <f>IFERROR(VLOOKUP(B130,공휴일!B:C,2,0),"")</f>
        <v/>
      </c>
    </row>
    <row r="131" spans="2:13" x14ac:dyDescent="0.3">
      <c r="B131" s="31">
        <v>46350</v>
      </c>
      <c r="C131" s="117" t="s">
        <v>16</v>
      </c>
      <c r="D131" s="118"/>
      <c r="E131" s="117" t="s">
        <v>20</v>
      </c>
      <c r="F131" s="118"/>
      <c r="G131" s="89"/>
      <c r="H131" s="28" t="str">
        <f>IF(WORKDAY(B131-1,1,공휴일!$B$4:$B$24)=B131,IF(WORKDAY(B131,1,공휴일!$B$4:$B$24)&lt;&gt;B131+1,"금요일","평일"),IF(WORKDAY(B131,1,공휴일!$B$4:$B$24)&lt;&gt;B131+1,"토요일","일요일"))</f>
        <v>평일</v>
      </c>
      <c r="I131" s="125" t="str">
        <f t="shared" si="6"/>
        <v>2026-11</v>
      </c>
      <c r="J131" s="93" t="str">
        <f t="shared" si="7"/>
        <v>이현숙</v>
      </c>
      <c r="K131" s="93" t="str">
        <f t="shared" si="8"/>
        <v>이원철</v>
      </c>
      <c r="L131" s="16" t="str">
        <f t="shared" si="9"/>
        <v>화</v>
      </c>
      <c r="M131" s="17" t="str">
        <f>IFERROR(VLOOKUP(B131,공휴일!B:C,2,0),"")</f>
        <v/>
      </c>
    </row>
    <row r="132" spans="2:13" x14ac:dyDescent="0.3">
      <c r="B132" s="31">
        <v>46351</v>
      </c>
      <c r="C132" s="117" t="s">
        <v>13</v>
      </c>
      <c r="D132" s="118"/>
      <c r="E132" s="117" t="s">
        <v>21</v>
      </c>
      <c r="F132" s="118"/>
      <c r="G132" s="89"/>
      <c r="H132" s="28" t="str">
        <f>IF(WORKDAY(B132-1,1,공휴일!$B$4:$B$24)=B132,IF(WORKDAY(B132,1,공휴일!$B$4:$B$24)&lt;&gt;B132+1,"금요일","평일"),IF(WORKDAY(B132,1,공휴일!$B$4:$B$24)&lt;&gt;B132+1,"토요일","일요일"))</f>
        <v>평일</v>
      </c>
      <c r="I132" s="125" t="str">
        <f t="shared" si="6"/>
        <v>2026-11</v>
      </c>
      <c r="J132" s="93" t="str">
        <f t="shared" si="7"/>
        <v>안지영</v>
      </c>
      <c r="K132" s="93" t="str">
        <f t="shared" si="8"/>
        <v>정찬웅</v>
      </c>
      <c r="L132" s="16" t="str">
        <f t="shared" si="9"/>
        <v>수</v>
      </c>
      <c r="M132" s="17" t="str">
        <f>IFERROR(VLOOKUP(B132,공휴일!B:C,2,0),"")</f>
        <v/>
      </c>
    </row>
    <row r="133" spans="2:13" x14ac:dyDescent="0.3">
      <c r="B133" s="31">
        <v>46352</v>
      </c>
      <c r="C133" s="117" t="s">
        <v>41</v>
      </c>
      <c r="D133" s="118"/>
      <c r="E133" s="117" t="s">
        <v>22</v>
      </c>
      <c r="F133" s="118"/>
      <c r="G133" s="89"/>
      <c r="H133" s="28" t="str">
        <f>IF(WORKDAY(B133-1,1,공휴일!$B$4:$B$24)=B133,IF(WORKDAY(B133,1,공휴일!$B$4:$B$24)&lt;&gt;B133+1,"금요일","평일"),IF(WORKDAY(B133,1,공휴일!$B$4:$B$24)&lt;&gt;B133+1,"토요일","일요일"))</f>
        <v>평일</v>
      </c>
      <c r="I133" s="125" t="str">
        <f t="shared" si="6"/>
        <v>2026-11</v>
      </c>
      <c r="J133" s="93" t="str">
        <f t="shared" si="7"/>
        <v>송남철</v>
      </c>
      <c r="K133" s="93" t="str">
        <f t="shared" si="8"/>
        <v>서진호</v>
      </c>
      <c r="L133" s="16" t="str">
        <f t="shared" ref="L133:L168" si="10">TEXT(B133,"aaa")</f>
        <v>목</v>
      </c>
      <c r="M133" s="17" t="str">
        <f>IFERROR(VLOOKUP(B133,공휴일!B:C,2,0),"")</f>
        <v/>
      </c>
    </row>
    <row r="134" spans="2:13" x14ac:dyDescent="0.3">
      <c r="B134" s="31">
        <v>46353</v>
      </c>
      <c r="C134" s="117" t="s">
        <v>17</v>
      </c>
      <c r="D134" s="118"/>
      <c r="E134" s="117" t="s">
        <v>11</v>
      </c>
      <c r="F134" s="118"/>
      <c r="G134" s="89"/>
      <c r="H134" s="28" t="str">
        <f>IF(WORKDAY(B134-1,1,공휴일!$B$4:$B$24)=B134,IF(WORKDAY(B134,1,공휴일!$B$4:$B$24)&lt;&gt;B134+1,"금요일","평일"),IF(WORKDAY(B134,1,공휴일!$B$4:$B$24)&lt;&gt;B134+1,"토요일","일요일"))</f>
        <v>금요일</v>
      </c>
      <c r="I134" s="125" t="str">
        <f t="shared" ref="I134:I197" si="11">TEXT(B134,"yyyy-mm")</f>
        <v>2026-11</v>
      </c>
      <c r="J134" s="93" t="str">
        <f t="shared" ref="J134:J168" si="12">IF(D134="",C134,D134)</f>
        <v>신혜원</v>
      </c>
      <c r="K134" s="93" t="str">
        <f t="shared" ref="K134:K168" si="13">IF(F134="",E134,F134)</f>
        <v>장민우</v>
      </c>
      <c r="L134" s="16" t="str">
        <f t="shared" si="10"/>
        <v>금</v>
      </c>
      <c r="M134" s="17" t="str">
        <f>IFERROR(VLOOKUP(B134,공휴일!B:C,2,0),"")</f>
        <v/>
      </c>
    </row>
    <row r="135" spans="2:13" x14ac:dyDescent="0.3">
      <c r="B135" s="31">
        <v>46354</v>
      </c>
      <c r="C135" s="117" t="s">
        <v>40</v>
      </c>
      <c r="D135" s="118"/>
      <c r="E135" s="117" t="s">
        <v>19</v>
      </c>
      <c r="F135" s="118"/>
      <c r="G135" s="89"/>
      <c r="H135" s="28" t="str">
        <f>IF(WORKDAY(B135-1,1,공휴일!$B$4:$B$24)=B135,IF(WORKDAY(B135,1,공휴일!$B$4:$B$24)&lt;&gt;B135+1,"금요일","평일"),IF(WORKDAY(B135,1,공휴일!$B$4:$B$24)&lt;&gt;B135+1,"토요일","일요일"))</f>
        <v>토요일</v>
      </c>
      <c r="I135" s="125" t="str">
        <f t="shared" si="11"/>
        <v>2026-11</v>
      </c>
      <c r="J135" s="93" t="str">
        <f t="shared" si="12"/>
        <v>여철호</v>
      </c>
      <c r="K135" s="93" t="str">
        <f t="shared" si="13"/>
        <v>우정수</v>
      </c>
      <c r="L135" s="16" t="str">
        <f t="shared" si="10"/>
        <v>토</v>
      </c>
      <c r="M135" s="17" t="str">
        <f>IFERROR(VLOOKUP(B135,공휴일!B:C,2,0),"")</f>
        <v/>
      </c>
    </row>
    <row r="136" spans="2:13" x14ac:dyDescent="0.3">
      <c r="B136" s="31">
        <v>46355</v>
      </c>
      <c r="C136" s="117" t="s">
        <v>15</v>
      </c>
      <c r="D136" s="118"/>
      <c r="E136" s="117" t="s">
        <v>44</v>
      </c>
      <c r="F136" s="118"/>
      <c r="G136" s="89"/>
      <c r="H136" s="28" t="str">
        <f>IF(WORKDAY(B136-1,1,공휴일!$B$4:$B$24)=B136,IF(WORKDAY(B136,1,공휴일!$B$4:$B$24)&lt;&gt;B136+1,"금요일","평일"),IF(WORKDAY(B136,1,공휴일!$B$4:$B$24)&lt;&gt;B136+1,"토요일","일요일"))</f>
        <v>일요일</v>
      </c>
      <c r="I136" s="125" t="str">
        <f t="shared" si="11"/>
        <v>2026-11</v>
      </c>
      <c r="J136" s="93" t="str">
        <f t="shared" si="12"/>
        <v>구민아</v>
      </c>
      <c r="K136" s="93" t="str">
        <f t="shared" si="13"/>
        <v>오기희</v>
      </c>
      <c r="L136" s="16" t="str">
        <f t="shared" si="10"/>
        <v>일</v>
      </c>
      <c r="M136" s="17" t="str">
        <f>IFERROR(VLOOKUP(B136,공휴일!B:C,2,0),"")</f>
        <v/>
      </c>
    </row>
    <row r="137" spans="2:13" x14ac:dyDescent="0.3">
      <c r="B137" s="31">
        <v>46356</v>
      </c>
      <c r="C137" s="117" t="s">
        <v>14</v>
      </c>
      <c r="D137" s="118"/>
      <c r="E137" s="117" t="s">
        <v>18</v>
      </c>
      <c r="F137" s="118"/>
      <c r="G137" s="89"/>
      <c r="H137" s="28" t="str">
        <f>IF(WORKDAY(B137-1,1,공휴일!$B$4:$B$24)=B137,IF(WORKDAY(B137,1,공휴일!$B$4:$B$24)&lt;&gt;B137+1,"금요일","평일"),IF(WORKDAY(B137,1,공휴일!$B$4:$B$24)&lt;&gt;B137+1,"토요일","일요일"))</f>
        <v>평일</v>
      </c>
      <c r="I137" s="125" t="str">
        <f t="shared" si="11"/>
        <v>2026-11</v>
      </c>
      <c r="J137" s="93" t="str">
        <f t="shared" si="12"/>
        <v>고석규</v>
      </c>
      <c r="K137" s="93" t="str">
        <f t="shared" si="13"/>
        <v>이승현</v>
      </c>
      <c r="L137" s="16" t="str">
        <f t="shared" si="10"/>
        <v>월</v>
      </c>
      <c r="M137" s="17" t="str">
        <f>IFERROR(VLOOKUP(B137,공휴일!B:C,2,0),"")</f>
        <v/>
      </c>
    </row>
    <row r="138" spans="2:13" x14ac:dyDescent="0.3">
      <c r="B138" s="31">
        <v>46357</v>
      </c>
      <c r="C138" s="103" t="s">
        <v>12</v>
      </c>
      <c r="D138" s="104"/>
      <c r="E138" s="103" t="s">
        <v>10</v>
      </c>
      <c r="F138" s="104"/>
      <c r="G138" s="89"/>
      <c r="H138" s="28" t="str">
        <f>IF(WORKDAY(B138-1,1,공휴일!$B$4:$B$24)=B138,IF(WORKDAY(B138,1,공휴일!$B$4:$B$24)&lt;&gt;B138+1,"금요일","평일"),IF(WORKDAY(B138,1,공휴일!$B$4:$B$24)&lt;&gt;B138+1,"토요일","일요일"))</f>
        <v>평일</v>
      </c>
      <c r="I138" s="125" t="str">
        <f t="shared" si="11"/>
        <v>2026-12</v>
      </c>
      <c r="J138" s="93" t="str">
        <f t="shared" si="12"/>
        <v>한문영</v>
      </c>
      <c r="K138" s="93" t="str">
        <f t="shared" si="13"/>
        <v>유진수</v>
      </c>
      <c r="L138" s="16" t="str">
        <f t="shared" si="10"/>
        <v>화</v>
      </c>
      <c r="M138" s="17" t="str">
        <f>IFERROR(VLOOKUP(B138,공휴일!B:C,2,0),"")</f>
        <v/>
      </c>
    </row>
    <row r="139" spans="2:13" x14ac:dyDescent="0.3">
      <c r="B139" s="31">
        <v>46358</v>
      </c>
      <c r="C139" s="103" t="s">
        <v>16</v>
      </c>
      <c r="D139" s="104"/>
      <c r="E139" s="103" t="s">
        <v>20</v>
      </c>
      <c r="F139" s="104"/>
      <c r="G139" s="89"/>
      <c r="H139" s="28" t="str">
        <f>IF(WORKDAY(B139-1,1,공휴일!$B$4:$B$24)=B139,IF(WORKDAY(B139,1,공휴일!$B$4:$B$24)&lt;&gt;B139+1,"금요일","평일"),IF(WORKDAY(B139,1,공휴일!$B$4:$B$24)&lt;&gt;B139+1,"토요일","일요일"))</f>
        <v>평일</v>
      </c>
      <c r="I139" s="125" t="str">
        <f t="shared" si="11"/>
        <v>2026-12</v>
      </c>
      <c r="J139" s="93" t="str">
        <f t="shared" si="12"/>
        <v>이현숙</v>
      </c>
      <c r="K139" s="93" t="str">
        <f t="shared" si="13"/>
        <v>이원철</v>
      </c>
      <c r="L139" s="16" t="str">
        <f t="shared" si="10"/>
        <v>수</v>
      </c>
      <c r="M139" s="17" t="str">
        <f>IFERROR(VLOOKUP(B139,공휴일!B:C,2,0),"")</f>
        <v/>
      </c>
    </row>
    <row r="140" spans="2:13" x14ac:dyDescent="0.3">
      <c r="B140" s="31">
        <v>46359</v>
      </c>
      <c r="C140" s="103" t="s">
        <v>13</v>
      </c>
      <c r="D140" s="104"/>
      <c r="E140" s="103" t="s">
        <v>21</v>
      </c>
      <c r="F140" s="104"/>
      <c r="G140" s="89"/>
      <c r="H140" s="28" t="str">
        <f>IF(WORKDAY(B140-1,1,공휴일!$B$4:$B$24)=B140,IF(WORKDAY(B140,1,공휴일!$B$4:$B$24)&lt;&gt;B140+1,"금요일","평일"),IF(WORKDAY(B140,1,공휴일!$B$4:$B$24)&lt;&gt;B140+1,"토요일","일요일"))</f>
        <v>평일</v>
      </c>
      <c r="I140" s="125" t="str">
        <f t="shared" si="11"/>
        <v>2026-12</v>
      </c>
      <c r="J140" s="93" t="str">
        <f t="shared" si="12"/>
        <v>안지영</v>
      </c>
      <c r="K140" s="93" t="str">
        <f t="shared" si="13"/>
        <v>정찬웅</v>
      </c>
      <c r="L140" s="16" t="str">
        <f t="shared" si="10"/>
        <v>목</v>
      </c>
      <c r="M140" s="17" t="str">
        <f>IFERROR(VLOOKUP(B140,공휴일!B:C,2,0),"")</f>
        <v/>
      </c>
    </row>
    <row r="141" spans="2:13" x14ac:dyDescent="0.3">
      <c r="B141" s="31">
        <v>46360</v>
      </c>
      <c r="C141" s="103" t="s">
        <v>41</v>
      </c>
      <c r="D141" s="104"/>
      <c r="E141" s="103" t="s">
        <v>22</v>
      </c>
      <c r="F141" s="104"/>
      <c r="G141" s="89"/>
      <c r="H141" s="28" t="str">
        <f>IF(WORKDAY(B141-1,1,공휴일!$B$4:$B$24)=B141,IF(WORKDAY(B141,1,공휴일!$B$4:$B$24)&lt;&gt;B141+1,"금요일","평일"),IF(WORKDAY(B141,1,공휴일!$B$4:$B$24)&lt;&gt;B141+1,"토요일","일요일"))</f>
        <v>금요일</v>
      </c>
      <c r="I141" s="125" t="str">
        <f t="shared" si="11"/>
        <v>2026-12</v>
      </c>
      <c r="J141" s="93" t="str">
        <f t="shared" si="12"/>
        <v>송남철</v>
      </c>
      <c r="K141" s="93" t="str">
        <f t="shared" si="13"/>
        <v>서진호</v>
      </c>
      <c r="L141" s="16" t="str">
        <f t="shared" si="10"/>
        <v>금</v>
      </c>
      <c r="M141" s="17" t="str">
        <f>IFERROR(VLOOKUP(B141,공휴일!B:C,2,0),"")</f>
        <v/>
      </c>
    </row>
    <row r="142" spans="2:13" x14ac:dyDescent="0.3">
      <c r="B142" s="31">
        <v>46361</v>
      </c>
      <c r="C142" s="103" t="s">
        <v>17</v>
      </c>
      <c r="D142" s="104"/>
      <c r="E142" s="103" t="s">
        <v>11</v>
      </c>
      <c r="F142" s="104"/>
      <c r="G142" s="89"/>
      <c r="H142" s="28" t="str">
        <f>IF(WORKDAY(B142-1,1,공휴일!$B$4:$B$24)=B142,IF(WORKDAY(B142,1,공휴일!$B$4:$B$24)&lt;&gt;B142+1,"금요일","평일"),IF(WORKDAY(B142,1,공휴일!$B$4:$B$24)&lt;&gt;B142+1,"토요일","일요일"))</f>
        <v>토요일</v>
      </c>
      <c r="I142" s="125" t="str">
        <f t="shared" si="11"/>
        <v>2026-12</v>
      </c>
      <c r="J142" s="93" t="str">
        <f t="shared" si="12"/>
        <v>신혜원</v>
      </c>
      <c r="K142" s="93" t="str">
        <f t="shared" si="13"/>
        <v>장민우</v>
      </c>
      <c r="L142" s="16" t="str">
        <f t="shared" si="10"/>
        <v>토</v>
      </c>
      <c r="M142" s="17" t="str">
        <f>IFERROR(VLOOKUP(B142,공휴일!B:C,2,0),"")</f>
        <v/>
      </c>
    </row>
    <row r="143" spans="2:13" x14ac:dyDescent="0.3">
      <c r="B143" s="31">
        <v>46362</v>
      </c>
      <c r="C143" s="103" t="s">
        <v>40</v>
      </c>
      <c r="D143" s="104"/>
      <c r="E143" s="103" t="s">
        <v>19</v>
      </c>
      <c r="F143" s="104"/>
      <c r="G143" s="89"/>
      <c r="H143" s="28" t="str">
        <f>IF(WORKDAY(B143-1,1,공휴일!$B$4:$B$24)=B143,IF(WORKDAY(B143,1,공휴일!$B$4:$B$24)&lt;&gt;B143+1,"금요일","평일"),IF(WORKDAY(B143,1,공휴일!$B$4:$B$24)&lt;&gt;B143+1,"토요일","일요일"))</f>
        <v>일요일</v>
      </c>
      <c r="I143" s="125" t="str">
        <f t="shared" si="11"/>
        <v>2026-12</v>
      </c>
      <c r="J143" s="93" t="str">
        <f t="shared" si="12"/>
        <v>여철호</v>
      </c>
      <c r="K143" s="93" t="str">
        <f t="shared" si="13"/>
        <v>우정수</v>
      </c>
      <c r="L143" s="16" t="str">
        <f t="shared" si="10"/>
        <v>일</v>
      </c>
      <c r="M143" s="17" t="str">
        <f>IFERROR(VLOOKUP(B143,공휴일!B:C,2,0),"")</f>
        <v/>
      </c>
    </row>
    <row r="144" spans="2:13" x14ac:dyDescent="0.3">
      <c r="B144" s="31">
        <v>46363</v>
      </c>
      <c r="C144" s="103" t="s">
        <v>15</v>
      </c>
      <c r="D144" s="104"/>
      <c r="E144" s="103" t="s">
        <v>44</v>
      </c>
      <c r="F144" s="104"/>
      <c r="G144" s="89"/>
      <c r="H144" s="28" t="str">
        <f>IF(WORKDAY(B144-1,1,공휴일!$B$4:$B$24)=B144,IF(WORKDAY(B144,1,공휴일!$B$4:$B$24)&lt;&gt;B144+1,"금요일","평일"),IF(WORKDAY(B144,1,공휴일!$B$4:$B$24)&lt;&gt;B144+1,"토요일","일요일"))</f>
        <v>평일</v>
      </c>
      <c r="I144" s="125" t="str">
        <f t="shared" si="11"/>
        <v>2026-12</v>
      </c>
      <c r="J144" s="93" t="str">
        <f t="shared" si="12"/>
        <v>구민아</v>
      </c>
      <c r="K144" s="93" t="str">
        <f t="shared" si="13"/>
        <v>오기희</v>
      </c>
      <c r="L144" s="16" t="str">
        <f t="shared" si="10"/>
        <v>월</v>
      </c>
      <c r="M144" s="17" t="str">
        <f>IFERROR(VLOOKUP(B144,공휴일!B:C,2,0),"")</f>
        <v/>
      </c>
    </row>
    <row r="145" spans="2:13" x14ac:dyDescent="0.3">
      <c r="B145" s="31">
        <v>46364</v>
      </c>
      <c r="C145" s="103" t="s">
        <v>14</v>
      </c>
      <c r="D145" s="104"/>
      <c r="E145" s="103" t="s">
        <v>18</v>
      </c>
      <c r="F145" s="104"/>
      <c r="G145" s="89"/>
      <c r="H145" s="28" t="str">
        <f>IF(WORKDAY(B145-1,1,공휴일!$B$4:$B$24)=B145,IF(WORKDAY(B145,1,공휴일!$B$4:$B$24)&lt;&gt;B145+1,"금요일","평일"),IF(WORKDAY(B145,1,공휴일!$B$4:$B$24)&lt;&gt;B145+1,"토요일","일요일"))</f>
        <v>평일</v>
      </c>
      <c r="I145" s="125" t="str">
        <f t="shared" si="11"/>
        <v>2026-12</v>
      </c>
      <c r="J145" s="93" t="str">
        <f t="shared" si="12"/>
        <v>고석규</v>
      </c>
      <c r="K145" s="93" t="str">
        <f t="shared" si="13"/>
        <v>이승현</v>
      </c>
      <c r="L145" s="16" t="str">
        <f t="shared" si="10"/>
        <v>화</v>
      </c>
      <c r="M145" s="17" t="str">
        <f>IFERROR(VLOOKUP(B145,공휴일!B:C,2,0),"")</f>
        <v/>
      </c>
    </row>
    <row r="146" spans="2:13" x14ac:dyDescent="0.3">
      <c r="B146" s="31">
        <v>46365</v>
      </c>
      <c r="C146" s="103" t="s">
        <v>12</v>
      </c>
      <c r="D146" s="104"/>
      <c r="E146" s="103" t="s">
        <v>10</v>
      </c>
      <c r="F146" s="104"/>
      <c r="G146" s="89"/>
      <c r="H146" s="28" t="str">
        <f>IF(WORKDAY(B146-1,1,공휴일!$B$4:$B$24)=B146,IF(WORKDAY(B146,1,공휴일!$B$4:$B$24)&lt;&gt;B146+1,"금요일","평일"),IF(WORKDAY(B146,1,공휴일!$B$4:$B$24)&lt;&gt;B146+1,"토요일","일요일"))</f>
        <v>평일</v>
      </c>
      <c r="I146" s="125" t="str">
        <f t="shared" si="11"/>
        <v>2026-12</v>
      </c>
      <c r="J146" s="93" t="str">
        <f t="shared" si="12"/>
        <v>한문영</v>
      </c>
      <c r="K146" s="93" t="str">
        <f t="shared" si="13"/>
        <v>유진수</v>
      </c>
      <c r="L146" s="16" t="str">
        <f t="shared" si="10"/>
        <v>수</v>
      </c>
      <c r="M146" s="17" t="str">
        <f>IFERROR(VLOOKUP(B146,공휴일!B:C,2,0),"")</f>
        <v/>
      </c>
    </row>
    <row r="147" spans="2:13" x14ac:dyDescent="0.3">
      <c r="B147" s="31">
        <v>46366</v>
      </c>
      <c r="C147" s="103" t="s">
        <v>16</v>
      </c>
      <c r="D147" s="104"/>
      <c r="E147" s="103" t="s">
        <v>20</v>
      </c>
      <c r="F147" s="104"/>
      <c r="G147" s="89"/>
      <c r="H147" s="28" t="str">
        <f>IF(WORKDAY(B147-1,1,공휴일!$B$4:$B$24)=B147,IF(WORKDAY(B147,1,공휴일!$B$4:$B$24)&lt;&gt;B147+1,"금요일","평일"),IF(WORKDAY(B147,1,공휴일!$B$4:$B$24)&lt;&gt;B147+1,"토요일","일요일"))</f>
        <v>평일</v>
      </c>
      <c r="I147" s="125" t="str">
        <f t="shared" si="11"/>
        <v>2026-12</v>
      </c>
      <c r="J147" s="93" t="str">
        <f t="shared" si="12"/>
        <v>이현숙</v>
      </c>
      <c r="K147" s="93" t="str">
        <f t="shared" si="13"/>
        <v>이원철</v>
      </c>
      <c r="L147" s="16" t="str">
        <f t="shared" si="10"/>
        <v>목</v>
      </c>
      <c r="M147" s="17" t="str">
        <f>IFERROR(VLOOKUP(B147,공휴일!B:C,2,0),"")</f>
        <v/>
      </c>
    </row>
    <row r="148" spans="2:13" x14ac:dyDescent="0.3">
      <c r="B148" s="31">
        <v>46367</v>
      </c>
      <c r="C148" s="103" t="s">
        <v>13</v>
      </c>
      <c r="D148" s="104"/>
      <c r="E148" s="103" t="s">
        <v>21</v>
      </c>
      <c r="F148" s="104"/>
      <c r="G148" s="89"/>
      <c r="H148" s="28" t="str">
        <f>IF(WORKDAY(B148-1,1,공휴일!$B$4:$B$24)=B148,IF(WORKDAY(B148,1,공휴일!$B$4:$B$24)&lt;&gt;B148+1,"금요일","평일"),IF(WORKDAY(B148,1,공휴일!$B$4:$B$24)&lt;&gt;B148+1,"토요일","일요일"))</f>
        <v>금요일</v>
      </c>
      <c r="I148" s="125" t="str">
        <f t="shared" si="11"/>
        <v>2026-12</v>
      </c>
      <c r="J148" s="93" t="str">
        <f t="shared" si="12"/>
        <v>안지영</v>
      </c>
      <c r="K148" s="93" t="str">
        <f t="shared" si="13"/>
        <v>정찬웅</v>
      </c>
      <c r="L148" s="16" t="str">
        <f t="shared" si="10"/>
        <v>금</v>
      </c>
      <c r="M148" s="17" t="str">
        <f>IFERROR(VLOOKUP(B148,공휴일!B:C,2,0),"")</f>
        <v/>
      </c>
    </row>
    <row r="149" spans="2:13" x14ac:dyDescent="0.3">
      <c r="B149" s="31">
        <v>46368</v>
      </c>
      <c r="C149" s="103" t="s">
        <v>41</v>
      </c>
      <c r="D149" s="104"/>
      <c r="E149" s="103" t="s">
        <v>22</v>
      </c>
      <c r="F149" s="104"/>
      <c r="G149" s="89"/>
      <c r="H149" s="28" t="str">
        <f>IF(WORKDAY(B149-1,1,공휴일!$B$4:$B$24)=B149,IF(WORKDAY(B149,1,공휴일!$B$4:$B$24)&lt;&gt;B149+1,"금요일","평일"),IF(WORKDAY(B149,1,공휴일!$B$4:$B$24)&lt;&gt;B149+1,"토요일","일요일"))</f>
        <v>토요일</v>
      </c>
      <c r="I149" s="125" t="str">
        <f t="shared" si="11"/>
        <v>2026-12</v>
      </c>
      <c r="J149" s="93" t="str">
        <f t="shared" si="12"/>
        <v>송남철</v>
      </c>
      <c r="K149" s="93" t="str">
        <f t="shared" si="13"/>
        <v>서진호</v>
      </c>
      <c r="L149" s="16" t="str">
        <f t="shared" si="10"/>
        <v>토</v>
      </c>
      <c r="M149" s="17" t="str">
        <f>IFERROR(VLOOKUP(B149,공휴일!B:C,2,0),"")</f>
        <v/>
      </c>
    </row>
    <row r="150" spans="2:13" x14ac:dyDescent="0.3">
      <c r="B150" s="31">
        <v>46369</v>
      </c>
      <c r="C150" s="103" t="s">
        <v>17</v>
      </c>
      <c r="D150" s="104"/>
      <c r="E150" s="103" t="s">
        <v>11</v>
      </c>
      <c r="F150" s="104"/>
      <c r="G150" s="89"/>
      <c r="H150" s="28" t="str">
        <f>IF(WORKDAY(B150-1,1,공휴일!$B$4:$B$24)=B150,IF(WORKDAY(B150,1,공휴일!$B$4:$B$24)&lt;&gt;B150+1,"금요일","평일"),IF(WORKDAY(B150,1,공휴일!$B$4:$B$24)&lt;&gt;B150+1,"토요일","일요일"))</f>
        <v>일요일</v>
      </c>
      <c r="I150" s="125" t="str">
        <f t="shared" si="11"/>
        <v>2026-12</v>
      </c>
      <c r="J150" s="93" t="str">
        <f t="shared" si="12"/>
        <v>신혜원</v>
      </c>
      <c r="K150" s="93" t="str">
        <f t="shared" si="13"/>
        <v>장민우</v>
      </c>
      <c r="L150" s="16" t="str">
        <f t="shared" si="10"/>
        <v>일</v>
      </c>
      <c r="M150" s="17" t="str">
        <f>IFERROR(VLOOKUP(B150,공휴일!B:C,2,0),"")</f>
        <v/>
      </c>
    </row>
    <row r="151" spans="2:13" x14ac:dyDescent="0.3">
      <c r="B151" s="31">
        <v>46370</v>
      </c>
      <c r="C151" s="103" t="s">
        <v>40</v>
      </c>
      <c r="D151" s="104"/>
      <c r="E151" s="103" t="s">
        <v>19</v>
      </c>
      <c r="F151" s="104"/>
      <c r="G151" s="89"/>
      <c r="H151" s="28" t="str">
        <f>IF(WORKDAY(B151-1,1,공휴일!$B$4:$B$24)=B151,IF(WORKDAY(B151,1,공휴일!$B$4:$B$24)&lt;&gt;B151+1,"금요일","평일"),IF(WORKDAY(B151,1,공휴일!$B$4:$B$24)&lt;&gt;B151+1,"토요일","일요일"))</f>
        <v>평일</v>
      </c>
      <c r="I151" s="125" t="str">
        <f t="shared" si="11"/>
        <v>2026-12</v>
      </c>
      <c r="J151" s="93" t="str">
        <f t="shared" si="12"/>
        <v>여철호</v>
      </c>
      <c r="K151" s="93" t="str">
        <f t="shared" si="13"/>
        <v>우정수</v>
      </c>
      <c r="L151" s="16" t="str">
        <f t="shared" si="10"/>
        <v>월</v>
      </c>
      <c r="M151" s="17" t="str">
        <f>IFERROR(VLOOKUP(B151,공휴일!B:C,2,0),"")</f>
        <v/>
      </c>
    </row>
    <row r="152" spans="2:13" x14ac:dyDescent="0.3">
      <c r="B152" s="31">
        <v>46371</v>
      </c>
      <c r="C152" s="103" t="s">
        <v>15</v>
      </c>
      <c r="D152" s="104"/>
      <c r="E152" s="103" t="s">
        <v>44</v>
      </c>
      <c r="F152" s="104"/>
      <c r="G152" s="89"/>
      <c r="H152" s="28" t="str">
        <f>IF(WORKDAY(B152-1,1,공휴일!$B$4:$B$24)=B152,IF(WORKDAY(B152,1,공휴일!$B$4:$B$24)&lt;&gt;B152+1,"금요일","평일"),IF(WORKDAY(B152,1,공휴일!$B$4:$B$24)&lt;&gt;B152+1,"토요일","일요일"))</f>
        <v>평일</v>
      </c>
      <c r="I152" s="125" t="str">
        <f t="shared" si="11"/>
        <v>2026-12</v>
      </c>
      <c r="J152" s="93" t="str">
        <f t="shared" si="12"/>
        <v>구민아</v>
      </c>
      <c r="K152" s="93" t="str">
        <f t="shared" si="13"/>
        <v>오기희</v>
      </c>
      <c r="L152" s="16" t="str">
        <f t="shared" si="10"/>
        <v>화</v>
      </c>
      <c r="M152" s="17" t="str">
        <f>IFERROR(VLOOKUP(B152,공휴일!B:C,2,0),"")</f>
        <v/>
      </c>
    </row>
    <row r="153" spans="2:13" x14ac:dyDescent="0.3">
      <c r="B153" s="31">
        <v>46372</v>
      </c>
      <c r="C153" s="103" t="s">
        <v>14</v>
      </c>
      <c r="D153" s="104"/>
      <c r="E153" s="103" t="s">
        <v>18</v>
      </c>
      <c r="F153" s="104"/>
      <c r="G153" s="89"/>
      <c r="H153" s="28" t="str">
        <f>IF(WORKDAY(B153-1,1,공휴일!$B$4:$B$24)=B153,IF(WORKDAY(B153,1,공휴일!$B$4:$B$24)&lt;&gt;B153+1,"금요일","평일"),IF(WORKDAY(B153,1,공휴일!$B$4:$B$24)&lt;&gt;B153+1,"토요일","일요일"))</f>
        <v>평일</v>
      </c>
      <c r="I153" s="125" t="str">
        <f t="shared" si="11"/>
        <v>2026-12</v>
      </c>
      <c r="J153" s="93" t="str">
        <f t="shared" si="12"/>
        <v>고석규</v>
      </c>
      <c r="K153" s="93" t="str">
        <f t="shared" si="13"/>
        <v>이승현</v>
      </c>
      <c r="L153" s="16" t="str">
        <f t="shared" si="10"/>
        <v>수</v>
      </c>
      <c r="M153" s="17" t="str">
        <f>IFERROR(VLOOKUP(B153,공휴일!B:C,2,0),"")</f>
        <v/>
      </c>
    </row>
    <row r="154" spans="2:13" x14ac:dyDescent="0.3">
      <c r="B154" s="31">
        <v>46373</v>
      </c>
      <c r="C154" s="103" t="s">
        <v>12</v>
      </c>
      <c r="D154" s="104"/>
      <c r="E154" s="103" t="s">
        <v>10</v>
      </c>
      <c r="F154" s="104"/>
      <c r="G154" s="89"/>
      <c r="H154" s="28" t="str">
        <f>IF(WORKDAY(B154-1,1,공휴일!$B$4:$B$24)=B154,IF(WORKDAY(B154,1,공휴일!$B$4:$B$24)&lt;&gt;B154+1,"금요일","평일"),IF(WORKDAY(B154,1,공휴일!$B$4:$B$24)&lt;&gt;B154+1,"토요일","일요일"))</f>
        <v>평일</v>
      </c>
      <c r="I154" s="125" t="str">
        <f t="shared" si="11"/>
        <v>2026-12</v>
      </c>
      <c r="J154" s="93" t="str">
        <f t="shared" si="12"/>
        <v>한문영</v>
      </c>
      <c r="K154" s="93" t="str">
        <f t="shared" si="13"/>
        <v>유진수</v>
      </c>
      <c r="L154" s="16" t="str">
        <f t="shared" si="10"/>
        <v>목</v>
      </c>
      <c r="M154" s="17" t="str">
        <f>IFERROR(VLOOKUP(B154,공휴일!B:C,2,0),"")</f>
        <v/>
      </c>
    </row>
    <row r="155" spans="2:13" x14ac:dyDescent="0.3">
      <c r="B155" s="31">
        <v>46374</v>
      </c>
      <c r="C155" s="103" t="s">
        <v>16</v>
      </c>
      <c r="D155" s="104"/>
      <c r="E155" s="103" t="s">
        <v>20</v>
      </c>
      <c r="F155" s="104"/>
      <c r="G155" s="89"/>
      <c r="H155" s="28" t="str">
        <f>IF(WORKDAY(B155-1,1,공휴일!$B$4:$B$24)=B155,IF(WORKDAY(B155,1,공휴일!$B$4:$B$24)&lt;&gt;B155+1,"금요일","평일"),IF(WORKDAY(B155,1,공휴일!$B$4:$B$24)&lt;&gt;B155+1,"토요일","일요일"))</f>
        <v>금요일</v>
      </c>
      <c r="I155" s="125" t="str">
        <f t="shared" si="11"/>
        <v>2026-12</v>
      </c>
      <c r="J155" s="93" t="str">
        <f t="shared" si="12"/>
        <v>이현숙</v>
      </c>
      <c r="K155" s="93" t="str">
        <f t="shared" si="13"/>
        <v>이원철</v>
      </c>
      <c r="L155" s="16" t="str">
        <f t="shared" si="10"/>
        <v>금</v>
      </c>
      <c r="M155" s="17" t="str">
        <f>IFERROR(VLOOKUP(B155,공휴일!B:C,2,0),"")</f>
        <v/>
      </c>
    </row>
    <row r="156" spans="2:13" x14ac:dyDescent="0.3">
      <c r="B156" s="31">
        <v>46375</v>
      </c>
      <c r="C156" s="103" t="s">
        <v>13</v>
      </c>
      <c r="D156" s="104"/>
      <c r="E156" s="103" t="s">
        <v>21</v>
      </c>
      <c r="F156" s="104"/>
      <c r="G156" s="89"/>
      <c r="H156" s="28" t="str">
        <f>IF(WORKDAY(B156-1,1,공휴일!$B$4:$B$24)=B156,IF(WORKDAY(B156,1,공휴일!$B$4:$B$24)&lt;&gt;B156+1,"금요일","평일"),IF(WORKDAY(B156,1,공휴일!$B$4:$B$24)&lt;&gt;B156+1,"토요일","일요일"))</f>
        <v>토요일</v>
      </c>
      <c r="I156" s="125" t="str">
        <f t="shared" si="11"/>
        <v>2026-12</v>
      </c>
      <c r="J156" s="93" t="str">
        <f t="shared" si="12"/>
        <v>안지영</v>
      </c>
      <c r="K156" s="93" t="str">
        <f t="shared" si="13"/>
        <v>정찬웅</v>
      </c>
      <c r="L156" s="16" t="str">
        <f t="shared" si="10"/>
        <v>토</v>
      </c>
      <c r="M156" s="17" t="str">
        <f>IFERROR(VLOOKUP(B156,공휴일!B:C,2,0),"")</f>
        <v/>
      </c>
    </row>
    <row r="157" spans="2:13" x14ac:dyDescent="0.3">
      <c r="B157" s="31">
        <v>46376</v>
      </c>
      <c r="C157" s="103" t="s">
        <v>41</v>
      </c>
      <c r="D157" s="104"/>
      <c r="E157" s="103" t="s">
        <v>22</v>
      </c>
      <c r="F157" s="104"/>
      <c r="G157" s="89"/>
      <c r="H157" s="28" t="str">
        <f>IF(WORKDAY(B157-1,1,공휴일!$B$4:$B$24)=B157,IF(WORKDAY(B157,1,공휴일!$B$4:$B$24)&lt;&gt;B157+1,"금요일","평일"),IF(WORKDAY(B157,1,공휴일!$B$4:$B$24)&lt;&gt;B157+1,"토요일","일요일"))</f>
        <v>일요일</v>
      </c>
      <c r="I157" s="125" t="str">
        <f t="shared" si="11"/>
        <v>2026-12</v>
      </c>
      <c r="J157" s="93" t="str">
        <f t="shared" si="12"/>
        <v>송남철</v>
      </c>
      <c r="K157" s="93" t="str">
        <f t="shared" si="13"/>
        <v>서진호</v>
      </c>
      <c r="L157" s="16" t="str">
        <f t="shared" si="10"/>
        <v>일</v>
      </c>
      <c r="M157" s="17" t="str">
        <f>IFERROR(VLOOKUP(B157,공휴일!B:C,2,0),"")</f>
        <v/>
      </c>
    </row>
    <row r="158" spans="2:13" x14ac:dyDescent="0.3">
      <c r="B158" s="31">
        <v>46377</v>
      </c>
      <c r="C158" s="103" t="s">
        <v>17</v>
      </c>
      <c r="D158" s="104"/>
      <c r="E158" s="103" t="s">
        <v>11</v>
      </c>
      <c r="F158" s="104"/>
      <c r="G158" s="89"/>
      <c r="H158" s="28" t="str">
        <f>IF(WORKDAY(B158-1,1,공휴일!$B$4:$B$24)=B158,IF(WORKDAY(B158,1,공휴일!$B$4:$B$24)&lt;&gt;B158+1,"금요일","평일"),IF(WORKDAY(B158,1,공휴일!$B$4:$B$24)&lt;&gt;B158+1,"토요일","일요일"))</f>
        <v>평일</v>
      </c>
      <c r="I158" s="125" t="str">
        <f t="shared" si="11"/>
        <v>2026-12</v>
      </c>
      <c r="J158" s="93" t="str">
        <f t="shared" si="12"/>
        <v>신혜원</v>
      </c>
      <c r="K158" s="93" t="str">
        <f t="shared" si="13"/>
        <v>장민우</v>
      </c>
      <c r="L158" s="16" t="str">
        <f t="shared" si="10"/>
        <v>월</v>
      </c>
      <c r="M158" s="17" t="str">
        <f>IFERROR(VLOOKUP(B158,공휴일!B:C,2,0),"")</f>
        <v/>
      </c>
    </row>
    <row r="159" spans="2:13" x14ac:dyDescent="0.3">
      <c r="B159" s="31">
        <v>46378</v>
      </c>
      <c r="C159" s="103" t="s">
        <v>40</v>
      </c>
      <c r="D159" s="104"/>
      <c r="E159" s="103" t="s">
        <v>19</v>
      </c>
      <c r="F159" s="104"/>
      <c r="G159" s="89"/>
      <c r="H159" s="28" t="str">
        <f>IF(WORKDAY(B159-1,1,공휴일!$B$4:$B$24)=B159,IF(WORKDAY(B159,1,공휴일!$B$4:$B$24)&lt;&gt;B159+1,"금요일","평일"),IF(WORKDAY(B159,1,공휴일!$B$4:$B$24)&lt;&gt;B159+1,"토요일","일요일"))</f>
        <v>평일</v>
      </c>
      <c r="I159" s="125" t="str">
        <f t="shared" si="11"/>
        <v>2026-12</v>
      </c>
      <c r="J159" s="93" t="str">
        <f t="shared" si="12"/>
        <v>여철호</v>
      </c>
      <c r="K159" s="93" t="str">
        <f t="shared" si="13"/>
        <v>우정수</v>
      </c>
      <c r="L159" s="16" t="str">
        <f t="shared" si="10"/>
        <v>화</v>
      </c>
      <c r="M159" s="17" t="str">
        <f>IFERROR(VLOOKUP(B159,공휴일!B:C,2,0),"")</f>
        <v/>
      </c>
    </row>
    <row r="160" spans="2:13" x14ac:dyDescent="0.3">
      <c r="B160" s="31">
        <v>46379</v>
      </c>
      <c r="C160" s="103" t="s">
        <v>15</v>
      </c>
      <c r="D160" s="104"/>
      <c r="E160" s="103" t="s">
        <v>44</v>
      </c>
      <c r="F160" s="104"/>
      <c r="G160" s="89"/>
      <c r="H160" s="28" t="str">
        <f>IF(WORKDAY(B160-1,1,공휴일!$B$4:$B$24)=B160,IF(WORKDAY(B160,1,공휴일!$B$4:$B$24)&lt;&gt;B160+1,"금요일","평일"),IF(WORKDAY(B160,1,공휴일!$B$4:$B$24)&lt;&gt;B160+1,"토요일","일요일"))</f>
        <v>평일</v>
      </c>
      <c r="I160" s="125" t="str">
        <f t="shared" si="11"/>
        <v>2026-12</v>
      </c>
      <c r="J160" s="93" t="str">
        <f t="shared" si="12"/>
        <v>구민아</v>
      </c>
      <c r="K160" s="93" t="str">
        <f t="shared" si="13"/>
        <v>오기희</v>
      </c>
      <c r="L160" s="16" t="str">
        <f t="shared" si="10"/>
        <v>수</v>
      </c>
      <c r="M160" s="17" t="str">
        <f>IFERROR(VLOOKUP(B160,공휴일!B:C,2,0),"")</f>
        <v/>
      </c>
    </row>
    <row r="161" spans="2:13" x14ac:dyDescent="0.3">
      <c r="B161" s="31">
        <v>46380</v>
      </c>
      <c r="C161" s="103" t="s">
        <v>14</v>
      </c>
      <c r="D161" s="104"/>
      <c r="E161" s="103" t="s">
        <v>18</v>
      </c>
      <c r="F161" s="104"/>
      <c r="G161" s="89"/>
      <c r="H161" s="28" t="str">
        <f>IF(WORKDAY(B161-1,1,공휴일!$B$4:$B$24)=B161,IF(WORKDAY(B161,1,공휴일!$B$4:$B$24)&lt;&gt;B161+1,"금요일","평일"),IF(WORKDAY(B161,1,공휴일!$B$4:$B$24)&lt;&gt;B161+1,"토요일","일요일"))</f>
        <v>금요일</v>
      </c>
      <c r="I161" s="125" t="str">
        <f t="shared" si="11"/>
        <v>2026-12</v>
      </c>
      <c r="J161" s="93" t="str">
        <f t="shared" si="12"/>
        <v>고석규</v>
      </c>
      <c r="K161" s="93" t="str">
        <f t="shared" si="13"/>
        <v>이승현</v>
      </c>
      <c r="L161" s="16" t="str">
        <f t="shared" si="10"/>
        <v>목</v>
      </c>
      <c r="M161" s="17" t="str">
        <f>IFERROR(VLOOKUP(B161,공휴일!B:C,2,0),"")</f>
        <v/>
      </c>
    </row>
    <row r="162" spans="2:13" x14ac:dyDescent="0.3">
      <c r="B162" s="31">
        <v>46381</v>
      </c>
      <c r="C162" s="103" t="s">
        <v>12</v>
      </c>
      <c r="D162" s="104"/>
      <c r="E162" s="103" t="s">
        <v>10</v>
      </c>
      <c r="F162" s="104"/>
      <c r="G162" s="89"/>
      <c r="H162" s="28" t="str">
        <f>IF(WORKDAY(B162-1,1,공휴일!$B$4:$B$24)=B162,IF(WORKDAY(B162,1,공휴일!$B$4:$B$24)&lt;&gt;B162+1,"금요일","평일"),IF(WORKDAY(B162,1,공휴일!$B$4:$B$24)&lt;&gt;B162+1,"토요일","일요일"))</f>
        <v>토요일</v>
      </c>
      <c r="I162" s="125" t="str">
        <f t="shared" si="11"/>
        <v>2026-12</v>
      </c>
      <c r="J162" s="93" t="str">
        <f t="shared" si="12"/>
        <v>한문영</v>
      </c>
      <c r="K162" s="93" t="str">
        <f t="shared" si="13"/>
        <v>유진수</v>
      </c>
      <c r="L162" s="16" t="str">
        <f t="shared" si="10"/>
        <v>금</v>
      </c>
      <c r="M162" s="17" t="str">
        <f>IFERROR(VLOOKUP(B162,공휴일!B:C,2,0),"")</f>
        <v>성탄절</v>
      </c>
    </row>
    <row r="163" spans="2:13" x14ac:dyDescent="0.3">
      <c r="B163" s="31">
        <v>46382</v>
      </c>
      <c r="C163" s="103" t="s">
        <v>16</v>
      </c>
      <c r="D163" s="104"/>
      <c r="E163" s="103" t="s">
        <v>20</v>
      </c>
      <c r="F163" s="104"/>
      <c r="G163" s="89"/>
      <c r="H163" s="28" t="str">
        <f>IF(WORKDAY(B163-1,1,공휴일!$B$4:$B$24)=B163,IF(WORKDAY(B163,1,공휴일!$B$4:$B$24)&lt;&gt;B163+1,"금요일","평일"),IF(WORKDAY(B163,1,공휴일!$B$4:$B$24)&lt;&gt;B163+1,"토요일","일요일"))</f>
        <v>토요일</v>
      </c>
      <c r="I163" s="125" t="str">
        <f t="shared" si="11"/>
        <v>2026-12</v>
      </c>
      <c r="J163" s="93" t="str">
        <f t="shared" si="12"/>
        <v>이현숙</v>
      </c>
      <c r="K163" s="93" t="str">
        <f t="shared" si="13"/>
        <v>이원철</v>
      </c>
      <c r="L163" s="16" t="str">
        <f t="shared" si="10"/>
        <v>토</v>
      </c>
      <c r="M163" s="17" t="str">
        <f>IFERROR(VLOOKUP(B163,공휴일!B:C,2,0),"")</f>
        <v/>
      </c>
    </row>
    <row r="164" spans="2:13" x14ac:dyDescent="0.3">
      <c r="B164" s="31">
        <v>46383</v>
      </c>
      <c r="C164" s="103" t="s">
        <v>13</v>
      </c>
      <c r="D164" s="104"/>
      <c r="E164" s="103" t="s">
        <v>21</v>
      </c>
      <c r="F164" s="104"/>
      <c r="G164" s="89"/>
      <c r="H164" s="28" t="str">
        <f>IF(WORKDAY(B164-1,1,공휴일!$B$4:$B$24)=B164,IF(WORKDAY(B164,1,공휴일!$B$4:$B$24)&lt;&gt;B164+1,"금요일","평일"),IF(WORKDAY(B164,1,공휴일!$B$4:$B$24)&lt;&gt;B164+1,"토요일","일요일"))</f>
        <v>일요일</v>
      </c>
      <c r="I164" s="125" t="str">
        <f t="shared" si="11"/>
        <v>2026-12</v>
      </c>
      <c r="J164" s="93" t="str">
        <f t="shared" si="12"/>
        <v>안지영</v>
      </c>
      <c r="K164" s="93" t="str">
        <f t="shared" si="13"/>
        <v>정찬웅</v>
      </c>
      <c r="L164" s="16" t="str">
        <f t="shared" si="10"/>
        <v>일</v>
      </c>
      <c r="M164" s="17" t="str">
        <f>IFERROR(VLOOKUP(B164,공휴일!B:C,2,0),"")</f>
        <v/>
      </c>
    </row>
    <row r="165" spans="2:13" x14ac:dyDescent="0.3">
      <c r="B165" s="31">
        <v>46384</v>
      </c>
      <c r="C165" s="103" t="s">
        <v>41</v>
      </c>
      <c r="D165" s="104"/>
      <c r="E165" s="103" t="s">
        <v>22</v>
      </c>
      <c r="F165" s="104"/>
      <c r="G165" s="89"/>
      <c r="H165" s="28" t="str">
        <f>IF(WORKDAY(B165-1,1,공휴일!$B$4:$B$24)=B165,IF(WORKDAY(B165,1,공휴일!$B$4:$B$24)&lt;&gt;B165+1,"금요일","평일"),IF(WORKDAY(B165,1,공휴일!$B$4:$B$24)&lt;&gt;B165+1,"토요일","일요일"))</f>
        <v>평일</v>
      </c>
      <c r="I165" s="125" t="str">
        <f t="shared" si="11"/>
        <v>2026-12</v>
      </c>
      <c r="J165" s="93" t="str">
        <f t="shared" si="12"/>
        <v>송남철</v>
      </c>
      <c r="K165" s="93" t="str">
        <f t="shared" si="13"/>
        <v>서진호</v>
      </c>
      <c r="L165" s="16" t="str">
        <f t="shared" si="10"/>
        <v>월</v>
      </c>
      <c r="M165" s="17" t="str">
        <f>IFERROR(VLOOKUP(B165,공휴일!B:C,2,0),"")</f>
        <v/>
      </c>
    </row>
    <row r="166" spans="2:13" x14ac:dyDescent="0.3">
      <c r="B166" s="31">
        <v>46385</v>
      </c>
      <c r="C166" s="103" t="s">
        <v>17</v>
      </c>
      <c r="D166" s="104"/>
      <c r="E166" s="103" t="s">
        <v>11</v>
      </c>
      <c r="F166" s="104"/>
      <c r="G166" s="89"/>
      <c r="H166" s="28" t="str">
        <f>IF(WORKDAY(B166-1,1,공휴일!$B$4:$B$24)=B166,IF(WORKDAY(B166,1,공휴일!$B$4:$B$24)&lt;&gt;B166+1,"금요일","평일"),IF(WORKDAY(B166,1,공휴일!$B$4:$B$24)&lt;&gt;B166+1,"토요일","일요일"))</f>
        <v>평일</v>
      </c>
      <c r="I166" s="125" t="str">
        <f t="shared" si="11"/>
        <v>2026-12</v>
      </c>
      <c r="J166" s="93" t="str">
        <f t="shared" si="12"/>
        <v>신혜원</v>
      </c>
      <c r="K166" s="93" t="str">
        <f t="shared" si="13"/>
        <v>장민우</v>
      </c>
      <c r="L166" s="16" t="str">
        <f t="shared" si="10"/>
        <v>화</v>
      </c>
      <c r="M166" s="17" t="str">
        <f>IFERROR(VLOOKUP(B166,공휴일!B:C,2,0),"")</f>
        <v/>
      </c>
    </row>
    <row r="167" spans="2:13" x14ac:dyDescent="0.3">
      <c r="B167" s="31">
        <v>46386</v>
      </c>
      <c r="C167" s="103" t="s">
        <v>40</v>
      </c>
      <c r="D167" s="104"/>
      <c r="E167" s="103" t="s">
        <v>19</v>
      </c>
      <c r="F167" s="104"/>
      <c r="G167" s="89"/>
      <c r="H167" s="28" t="str">
        <f>IF(WORKDAY(B167-1,1,공휴일!$B$4:$B$24)=B167,IF(WORKDAY(B167,1,공휴일!$B$4:$B$24)&lt;&gt;B167+1,"금요일","평일"),IF(WORKDAY(B167,1,공휴일!$B$4:$B$24)&lt;&gt;B167+1,"토요일","일요일"))</f>
        <v>평일</v>
      </c>
      <c r="I167" s="125" t="str">
        <f t="shared" si="11"/>
        <v>2026-12</v>
      </c>
      <c r="J167" s="93" t="str">
        <f t="shared" si="12"/>
        <v>여철호</v>
      </c>
      <c r="K167" s="93" t="str">
        <f t="shared" si="13"/>
        <v>우정수</v>
      </c>
      <c r="L167" s="16" t="str">
        <f t="shared" si="10"/>
        <v>수</v>
      </c>
      <c r="M167" s="17" t="str">
        <f>IFERROR(VLOOKUP(B167,공휴일!B:C,2,0),"")</f>
        <v/>
      </c>
    </row>
    <row r="168" spans="2:13" x14ac:dyDescent="0.3">
      <c r="B168" s="139">
        <v>46387</v>
      </c>
      <c r="C168" s="140" t="s">
        <v>15</v>
      </c>
      <c r="D168" s="141"/>
      <c r="E168" s="140" t="s">
        <v>44</v>
      </c>
      <c r="F168" s="141"/>
      <c r="G168" s="145"/>
      <c r="H168" s="146" t="str">
        <f>IF(WORKDAY(B168-1,1,공휴일!$B$4:$B$24)=B168,IF(WORKDAY(B168,1,공휴일!$B$4:$B$24)&lt;&gt;B168+1,"금요일","평일"),IF(WORKDAY(B168,1,공휴일!$B$4:$B$24)&lt;&gt;B168+1,"토요일","일요일"))</f>
        <v>평일</v>
      </c>
      <c r="I168" s="125" t="str">
        <f t="shared" si="11"/>
        <v>2026-12</v>
      </c>
      <c r="J168" s="93" t="str">
        <f t="shared" si="12"/>
        <v>구민아</v>
      </c>
      <c r="K168" s="93" t="str">
        <f t="shared" si="13"/>
        <v>오기희</v>
      </c>
      <c r="L168" s="16" t="str">
        <f t="shared" si="10"/>
        <v>목</v>
      </c>
      <c r="M168" s="17" t="str">
        <f>IFERROR(VLOOKUP(B168,공휴일!B:C,2,0),"")</f>
        <v/>
      </c>
    </row>
    <row r="169" spans="2:13" x14ac:dyDescent="0.3">
      <c r="B169" s="142">
        <v>46388</v>
      </c>
      <c r="C169" s="143" t="s">
        <v>14</v>
      </c>
      <c r="D169" s="144"/>
      <c r="E169" s="143" t="s">
        <v>18</v>
      </c>
      <c r="F169" s="144"/>
      <c r="G169" s="147"/>
      <c r="H169" s="148" t="str">
        <f>IF(WORKDAY(B169-1,1,공휴일!$B$4:$B$24)=B169,IF(WORKDAY(B169,1,공휴일!$B$4:$B$24)&lt;&gt;B169+1,"금요일","평일"),IF(WORKDAY(B169,1,공휴일!$B$4:$B$24)&lt;&gt;B169+1,"토요일","일요일"))</f>
        <v>금요일</v>
      </c>
      <c r="I169" s="125" t="str">
        <f t="shared" si="11"/>
        <v>2027-01</v>
      </c>
      <c r="J169" s="93" t="str">
        <f t="shared" ref="J169:J232" si="14">IF(D169="",C169,D169)</f>
        <v>고석규</v>
      </c>
      <c r="K169" s="93" t="str">
        <f t="shared" ref="K169:K232" si="15">IF(F169="",E169,F169)</f>
        <v>이승현</v>
      </c>
      <c r="L169" s="16" t="str">
        <f t="shared" ref="L169:L232" si="16">TEXT(B169,"aaa")</f>
        <v>금</v>
      </c>
      <c r="M169" s="17" t="str">
        <f>IFERROR(VLOOKUP(B169,공휴일!B:C,2,0),"")</f>
        <v>신정</v>
      </c>
    </row>
    <row r="170" spans="2:13" x14ac:dyDescent="0.3">
      <c r="B170" s="142">
        <v>46389</v>
      </c>
      <c r="C170" s="143" t="s">
        <v>12</v>
      </c>
      <c r="D170" s="144"/>
      <c r="E170" s="143" t="s">
        <v>10</v>
      </c>
      <c r="F170" s="144"/>
      <c r="G170" s="147"/>
      <c r="H170" s="148" t="str">
        <f>IF(WORKDAY(B170-1,1,공휴일!$B$4:$B$24)=B170,IF(WORKDAY(B170,1,공휴일!$B$4:$B$24)&lt;&gt;B170+1,"금요일","평일"),IF(WORKDAY(B170,1,공휴일!$B$4:$B$24)&lt;&gt;B170+1,"토요일","일요일"))</f>
        <v>토요일</v>
      </c>
      <c r="I170" s="125" t="str">
        <f t="shared" si="11"/>
        <v>2027-01</v>
      </c>
      <c r="J170" s="93" t="str">
        <f t="shared" si="14"/>
        <v>한문영</v>
      </c>
      <c r="K170" s="93" t="str">
        <f t="shared" si="15"/>
        <v>유진수</v>
      </c>
      <c r="L170" s="16" t="str">
        <f t="shared" si="16"/>
        <v>토</v>
      </c>
      <c r="M170" s="17" t="str">
        <f>IFERROR(VLOOKUP(B170,공휴일!B:C,2,0),"")</f>
        <v/>
      </c>
    </row>
    <row r="171" spans="2:13" x14ac:dyDescent="0.3">
      <c r="B171" s="142">
        <v>46390</v>
      </c>
      <c r="C171" s="143" t="s">
        <v>16</v>
      </c>
      <c r="D171" s="144"/>
      <c r="E171" s="143" t="s">
        <v>20</v>
      </c>
      <c r="F171" s="144"/>
      <c r="G171" s="147"/>
      <c r="H171" s="148" t="str">
        <f>IF(WORKDAY(B171-1,1,공휴일!$B$4:$B$24)=B171,IF(WORKDAY(B171,1,공휴일!$B$4:$B$24)&lt;&gt;B171+1,"금요일","평일"),IF(WORKDAY(B171,1,공휴일!$B$4:$B$24)&lt;&gt;B171+1,"토요일","일요일"))</f>
        <v>일요일</v>
      </c>
      <c r="I171" s="125" t="str">
        <f t="shared" si="11"/>
        <v>2027-01</v>
      </c>
      <c r="J171" s="93" t="str">
        <f t="shared" si="14"/>
        <v>이현숙</v>
      </c>
      <c r="K171" s="93" t="str">
        <f t="shared" si="15"/>
        <v>이원철</v>
      </c>
      <c r="L171" s="16" t="str">
        <f t="shared" si="16"/>
        <v>일</v>
      </c>
      <c r="M171" s="17" t="str">
        <f>IFERROR(VLOOKUP(B171,공휴일!B:C,2,0),"")</f>
        <v/>
      </c>
    </row>
    <row r="172" spans="2:13" x14ac:dyDescent="0.3">
      <c r="B172" s="142">
        <v>46391</v>
      </c>
      <c r="C172" s="143" t="s">
        <v>13</v>
      </c>
      <c r="D172" s="144"/>
      <c r="E172" s="143" t="s">
        <v>21</v>
      </c>
      <c r="F172" s="144"/>
      <c r="G172" s="147"/>
      <c r="H172" s="148" t="str">
        <f>IF(WORKDAY(B172-1,1,공휴일!$B$4:$B$24)=B172,IF(WORKDAY(B172,1,공휴일!$B$4:$B$24)&lt;&gt;B172+1,"금요일","평일"),IF(WORKDAY(B172,1,공휴일!$B$4:$B$24)&lt;&gt;B172+1,"토요일","일요일"))</f>
        <v>평일</v>
      </c>
      <c r="I172" s="125" t="str">
        <f t="shared" si="11"/>
        <v>2027-01</v>
      </c>
      <c r="J172" s="93" t="str">
        <f t="shared" si="14"/>
        <v>안지영</v>
      </c>
      <c r="K172" s="93" t="str">
        <f t="shared" si="15"/>
        <v>정찬웅</v>
      </c>
      <c r="L172" s="16" t="str">
        <f t="shared" si="16"/>
        <v>월</v>
      </c>
      <c r="M172" s="17" t="str">
        <f>IFERROR(VLOOKUP(B172,공휴일!B:C,2,0),"")</f>
        <v/>
      </c>
    </row>
    <row r="173" spans="2:13" x14ac:dyDescent="0.3">
      <c r="B173" s="142">
        <v>46392</v>
      </c>
      <c r="C173" s="143" t="s">
        <v>41</v>
      </c>
      <c r="D173" s="144"/>
      <c r="E173" s="143" t="s">
        <v>22</v>
      </c>
      <c r="F173" s="144"/>
      <c r="G173" s="147"/>
      <c r="H173" s="148" t="str">
        <f>IF(WORKDAY(B173-1,1,공휴일!$B$4:$B$24)=B173,IF(WORKDAY(B173,1,공휴일!$B$4:$B$24)&lt;&gt;B173+1,"금요일","평일"),IF(WORKDAY(B173,1,공휴일!$B$4:$B$24)&lt;&gt;B173+1,"토요일","일요일"))</f>
        <v>평일</v>
      </c>
      <c r="I173" s="125" t="str">
        <f t="shared" si="11"/>
        <v>2027-01</v>
      </c>
      <c r="J173" s="93" t="str">
        <f t="shared" si="14"/>
        <v>송남철</v>
      </c>
      <c r="K173" s="93" t="str">
        <f t="shared" si="15"/>
        <v>서진호</v>
      </c>
      <c r="L173" s="16" t="str">
        <f t="shared" si="16"/>
        <v>화</v>
      </c>
      <c r="M173" s="17" t="str">
        <f>IFERROR(VLOOKUP(B173,공휴일!B:C,2,0),"")</f>
        <v/>
      </c>
    </row>
    <row r="174" spans="2:13" x14ac:dyDescent="0.3">
      <c r="B174" s="142">
        <v>46393</v>
      </c>
      <c r="C174" s="143" t="s">
        <v>17</v>
      </c>
      <c r="D174" s="144"/>
      <c r="E174" s="143" t="s">
        <v>11</v>
      </c>
      <c r="F174" s="144"/>
      <c r="G174" s="147"/>
      <c r="H174" s="148" t="str">
        <f>IF(WORKDAY(B174-1,1,공휴일!$B$4:$B$24)=B174,IF(WORKDAY(B174,1,공휴일!$B$4:$B$24)&lt;&gt;B174+1,"금요일","평일"),IF(WORKDAY(B174,1,공휴일!$B$4:$B$24)&lt;&gt;B174+1,"토요일","일요일"))</f>
        <v>평일</v>
      </c>
      <c r="I174" s="125" t="str">
        <f t="shared" si="11"/>
        <v>2027-01</v>
      </c>
      <c r="J174" s="93" t="str">
        <f t="shared" si="14"/>
        <v>신혜원</v>
      </c>
      <c r="K174" s="93" t="str">
        <f t="shared" si="15"/>
        <v>장민우</v>
      </c>
      <c r="L174" s="16" t="str">
        <f t="shared" si="16"/>
        <v>수</v>
      </c>
      <c r="M174" s="17" t="str">
        <f>IFERROR(VLOOKUP(B174,공휴일!B:C,2,0),"")</f>
        <v/>
      </c>
    </row>
    <row r="175" spans="2:13" x14ac:dyDescent="0.3">
      <c r="B175" s="142">
        <v>46394</v>
      </c>
      <c r="C175" s="143" t="s">
        <v>40</v>
      </c>
      <c r="D175" s="144"/>
      <c r="E175" s="143" t="s">
        <v>19</v>
      </c>
      <c r="F175" s="144"/>
      <c r="G175" s="147"/>
      <c r="H175" s="148" t="str">
        <f>IF(WORKDAY(B175-1,1,공휴일!$B$4:$B$24)=B175,IF(WORKDAY(B175,1,공휴일!$B$4:$B$24)&lt;&gt;B175+1,"금요일","평일"),IF(WORKDAY(B175,1,공휴일!$B$4:$B$24)&lt;&gt;B175+1,"토요일","일요일"))</f>
        <v>평일</v>
      </c>
      <c r="I175" s="125" t="str">
        <f t="shared" si="11"/>
        <v>2027-01</v>
      </c>
      <c r="J175" s="93" t="str">
        <f t="shared" si="14"/>
        <v>여철호</v>
      </c>
      <c r="K175" s="93" t="str">
        <f t="shared" si="15"/>
        <v>우정수</v>
      </c>
      <c r="L175" s="16" t="str">
        <f t="shared" si="16"/>
        <v>목</v>
      </c>
      <c r="M175" s="17" t="str">
        <f>IFERROR(VLOOKUP(B175,공휴일!B:C,2,0),"")</f>
        <v/>
      </c>
    </row>
    <row r="176" spans="2:13" x14ac:dyDescent="0.3">
      <c r="B176" s="142">
        <v>46395</v>
      </c>
      <c r="C176" s="143" t="s">
        <v>15</v>
      </c>
      <c r="D176" s="144"/>
      <c r="E176" s="143" t="s">
        <v>44</v>
      </c>
      <c r="F176" s="144"/>
      <c r="G176" s="147"/>
      <c r="H176" s="148" t="str">
        <f>IF(WORKDAY(B176-1,1,공휴일!$B$4:$B$24)=B176,IF(WORKDAY(B176,1,공휴일!$B$4:$B$24)&lt;&gt;B176+1,"금요일","평일"),IF(WORKDAY(B176,1,공휴일!$B$4:$B$24)&lt;&gt;B176+1,"토요일","일요일"))</f>
        <v>금요일</v>
      </c>
      <c r="I176" s="125" t="str">
        <f t="shared" si="11"/>
        <v>2027-01</v>
      </c>
      <c r="J176" s="93" t="str">
        <f t="shared" si="14"/>
        <v>구민아</v>
      </c>
      <c r="K176" s="93" t="str">
        <f t="shared" si="15"/>
        <v>오기희</v>
      </c>
      <c r="L176" s="16" t="str">
        <f t="shared" si="16"/>
        <v>금</v>
      </c>
      <c r="M176" s="17" t="str">
        <f>IFERROR(VLOOKUP(B176,공휴일!B:C,2,0),"")</f>
        <v/>
      </c>
    </row>
    <row r="177" spans="2:13" x14ac:dyDescent="0.3">
      <c r="B177" s="142">
        <v>46396</v>
      </c>
      <c r="C177" s="143" t="s">
        <v>14</v>
      </c>
      <c r="D177" s="144"/>
      <c r="E177" s="143" t="s">
        <v>18</v>
      </c>
      <c r="F177" s="144"/>
      <c r="G177" s="147"/>
      <c r="H177" s="148" t="str">
        <f>IF(WORKDAY(B177-1,1,공휴일!$B$4:$B$24)=B177,IF(WORKDAY(B177,1,공휴일!$B$4:$B$24)&lt;&gt;B177+1,"금요일","평일"),IF(WORKDAY(B177,1,공휴일!$B$4:$B$24)&lt;&gt;B177+1,"토요일","일요일"))</f>
        <v>토요일</v>
      </c>
      <c r="I177" s="125" t="str">
        <f t="shared" si="11"/>
        <v>2027-01</v>
      </c>
      <c r="J177" s="93" t="str">
        <f t="shared" si="14"/>
        <v>고석규</v>
      </c>
      <c r="K177" s="93" t="str">
        <f t="shared" si="15"/>
        <v>이승현</v>
      </c>
      <c r="L177" s="16" t="str">
        <f t="shared" si="16"/>
        <v>토</v>
      </c>
      <c r="M177" s="17" t="str">
        <f>IFERROR(VLOOKUP(B177,공휴일!B:C,2,0),"")</f>
        <v/>
      </c>
    </row>
    <row r="178" spans="2:13" x14ac:dyDescent="0.3">
      <c r="B178" s="142">
        <v>46397</v>
      </c>
      <c r="C178" s="143" t="s">
        <v>12</v>
      </c>
      <c r="D178" s="144"/>
      <c r="E178" s="143" t="s">
        <v>10</v>
      </c>
      <c r="F178" s="144"/>
      <c r="G178" s="147"/>
      <c r="H178" s="148" t="str">
        <f>IF(WORKDAY(B178-1,1,공휴일!$B$4:$B$24)=B178,IF(WORKDAY(B178,1,공휴일!$B$4:$B$24)&lt;&gt;B178+1,"금요일","평일"),IF(WORKDAY(B178,1,공휴일!$B$4:$B$24)&lt;&gt;B178+1,"토요일","일요일"))</f>
        <v>일요일</v>
      </c>
      <c r="I178" s="125" t="str">
        <f t="shared" si="11"/>
        <v>2027-01</v>
      </c>
      <c r="J178" s="93" t="str">
        <f t="shared" si="14"/>
        <v>한문영</v>
      </c>
      <c r="K178" s="93" t="str">
        <f t="shared" si="15"/>
        <v>유진수</v>
      </c>
      <c r="L178" s="16" t="str">
        <f t="shared" si="16"/>
        <v>일</v>
      </c>
      <c r="M178" s="17" t="str">
        <f>IFERROR(VLOOKUP(B178,공휴일!B:C,2,0),"")</f>
        <v/>
      </c>
    </row>
    <row r="179" spans="2:13" x14ac:dyDescent="0.3">
      <c r="B179" s="142">
        <v>46398</v>
      </c>
      <c r="C179" s="143" t="s">
        <v>16</v>
      </c>
      <c r="D179" s="144"/>
      <c r="E179" s="143" t="s">
        <v>20</v>
      </c>
      <c r="F179" s="144"/>
      <c r="G179" s="147"/>
      <c r="H179" s="148" t="str">
        <f>IF(WORKDAY(B179-1,1,공휴일!$B$4:$B$24)=B179,IF(WORKDAY(B179,1,공휴일!$B$4:$B$24)&lt;&gt;B179+1,"금요일","평일"),IF(WORKDAY(B179,1,공휴일!$B$4:$B$24)&lt;&gt;B179+1,"토요일","일요일"))</f>
        <v>평일</v>
      </c>
      <c r="I179" s="125" t="str">
        <f t="shared" si="11"/>
        <v>2027-01</v>
      </c>
      <c r="J179" s="93" t="str">
        <f t="shared" si="14"/>
        <v>이현숙</v>
      </c>
      <c r="K179" s="93" t="str">
        <f t="shared" si="15"/>
        <v>이원철</v>
      </c>
      <c r="L179" s="16" t="str">
        <f t="shared" si="16"/>
        <v>월</v>
      </c>
      <c r="M179" s="17" t="str">
        <f>IFERROR(VLOOKUP(B179,공휴일!B:C,2,0),"")</f>
        <v/>
      </c>
    </row>
    <row r="180" spans="2:13" x14ac:dyDescent="0.3">
      <c r="B180" s="142">
        <v>46399</v>
      </c>
      <c r="C180" s="143" t="s">
        <v>13</v>
      </c>
      <c r="D180" s="144"/>
      <c r="E180" s="143" t="s">
        <v>21</v>
      </c>
      <c r="F180" s="144"/>
      <c r="G180" s="147"/>
      <c r="H180" s="148" t="str">
        <f>IF(WORKDAY(B180-1,1,공휴일!$B$4:$B$24)=B180,IF(WORKDAY(B180,1,공휴일!$B$4:$B$24)&lt;&gt;B180+1,"금요일","평일"),IF(WORKDAY(B180,1,공휴일!$B$4:$B$24)&lt;&gt;B180+1,"토요일","일요일"))</f>
        <v>평일</v>
      </c>
      <c r="I180" s="125" t="str">
        <f t="shared" si="11"/>
        <v>2027-01</v>
      </c>
      <c r="J180" s="93" t="str">
        <f t="shared" si="14"/>
        <v>안지영</v>
      </c>
      <c r="K180" s="93" t="str">
        <f t="shared" si="15"/>
        <v>정찬웅</v>
      </c>
      <c r="L180" s="16" t="str">
        <f t="shared" si="16"/>
        <v>화</v>
      </c>
      <c r="M180" s="17" t="str">
        <f>IFERROR(VLOOKUP(B180,공휴일!B:C,2,0),"")</f>
        <v/>
      </c>
    </row>
    <row r="181" spans="2:13" x14ac:dyDescent="0.3">
      <c r="B181" s="142">
        <v>46400</v>
      </c>
      <c r="C181" s="143" t="s">
        <v>41</v>
      </c>
      <c r="D181" s="144"/>
      <c r="E181" s="143" t="s">
        <v>22</v>
      </c>
      <c r="F181" s="144"/>
      <c r="G181" s="147"/>
      <c r="H181" s="148" t="str">
        <f>IF(WORKDAY(B181-1,1,공휴일!$B$4:$B$24)=B181,IF(WORKDAY(B181,1,공휴일!$B$4:$B$24)&lt;&gt;B181+1,"금요일","평일"),IF(WORKDAY(B181,1,공휴일!$B$4:$B$24)&lt;&gt;B181+1,"토요일","일요일"))</f>
        <v>평일</v>
      </c>
      <c r="I181" s="125" t="str">
        <f t="shared" si="11"/>
        <v>2027-01</v>
      </c>
      <c r="J181" s="93" t="str">
        <f t="shared" si="14"/>
        <v>송남철</v>
      </c>
      <c r="K181" s="93" t="str">
        <f t="shared" si="15"/>
        <v>서진호</v>
      </c>
      <c r="L181" s="16" t="str">
        <f t="shared" si="16"/>
        <v>수</v>
      </c>
      <c r="M181" s="17" t="str">
        <f>IFERROR(VLOOKUP(B181,공휴일!B:C,2,0),"")</f>
        <v/>
      </c>
    </row>
    <row r="182" spans="2:13" x14ac:dyDescent="0.3">
      <c r="B182" s="142">
        <v>46401</v>
      </c>
      <c r="C182" s="143" t="s">
        <v>17</v>
      </c>
      <c r="D182" s="144"/>
      <c r="E182" s="143" t="s">
        <v>11</v>
      </c>
      <c r="F182" s="144"/>
      <c r="G182" s="147"/>
      <c r="H182" s="148" t="str">
        <f>IF(WORKDAY(B182-1,1,공휴일!$B$4:$B$24)=B182,IF(WORKDAY(B182,1,공휴일!$B$4:$B$24)&lt;&gt;B182+1,"금요일","평일"),IF(WORKDAY(B182,1,공휴일!$B$4:$B$24)&lt;&gt;B182+1,"토요일","일요일"))</f>
        <v>평일</v>
      </c>
      <c r="I182" s="125" t="str">
        <f t="shared" si="11"/>
        <v>2027-01</v>
      </c>
      <c r="J182" s="93" t="str">
        <f t="shared" si="14"/>
        <v>신혜원</v>
      </c>
      <c r="K182" s="93" t="str">
        <f t="shared" si="15"/>
        <v>장민우</v>
      </c>
      <c r="L182" s="16" t="str">
        <f t="shared" si="16"/>
        <v>목</v>
      </c>
      <c r="M182" s="17" t="str">
        <f>IFERROR(VLOOKUP(B182,공휴일!B:C,2,0),"")</f>
        <v/>
      </c>
    </row>
    <row r="183" spans="2:13" x14ac:dyDescent="0.3">
      <c r="B183" s="142">
        <v>46402</v>
      </c>
      <c r="C183" s="143" t="s">
        <v>40</v>
      </c>
      <c r="D183" s="144"/>
      <c r="E183" s="143" t="s">
        <v>19</v>
      </c>
      <c r="F183" s="144"/>
      <c r="G183" s="147"/>
      <c r="H183" s="148" t="str">
        <f>IF(WORKDAY(B183-1,1,공휴일!$B$4:$B$24)=B183,IF(WORKDAY(B183,1,공휴일!$B$4:$B$24)&lt;&gt;B183+1,"금요일","평일"),IF(WORKDAY(B183,1,공휴일!$B$4:$B$24)&lt;&gt;B183+1,"토요일","일요일"))</f>
        <v>금요일</v>
      </c>
      <c r="I183" s="125" t="str">
        <f t="shared" si="11"/>
        <v>2027-01</v>
      </c>
      <c r="J183" s="93" t="str">
        <f t="shared" si="14"/>
        <v>여철호</v>
      </c>
      <c r="K183" s="93" t="str">
        <f t="shared" si="15"/>
        <v>우정수</v>
      </c>
      <c r="L183" s="16" t="str">
        <f t="shared" si="16"/>
        <v>금</v>
      </c>
      <c r="M183" s="17" t="str">
        <f>IFERROR(VLOOKUP(B183,공휴일!B:C,2,0),"")</f>
        <v/>
      </c>
    </row>
    <row r="184" spans="2:13" x14ac:dyDescent="0.3">
      <c r="B184" s="142">
        <v>46403</v>
      </c>
      <c r="C184" s="143" t="s">
        <v>15</v>
      </c>
      <c r="D184" s="144"/>
      <c r="E184" s="143" t="s">
        <v>44</v>
      </c>
      <c r="F184" s="144"/>
      <c r="G184" s="147"/>
      <c r="H184" s="148" t="str">
        <f>IF(WORKDAY(B184-1,1,공휴일!$B$4:$B$24)=B184,IF(WORKDAY(B184,1,공휴일!$B$4:$B$24)&lt;&gt;B184+1,"금요일","평일"),IF(WORKDAY(B184,1,공휴일!$B$4:$B$24)&lt;&gt;B184+1,"토요일","일요일"))</f>
        <v>토요일</v>
      </c>
      <c r="I184" s="125" t="str">
        <f t="shared" si="11"/>
        <v>2027-01</v>
      </c>
      <c r="J184" s="93" t="str">
        <f t="shared" si="14"/>
        <v>구민아</v>
      </c>
      <c r="K184" s="93" t="str">
        <f t="shared" si="15"/>
        <v>오기희</v>
      </c>
      <c r="L184" s="16" t="str">
        <f t="shared" si="16"/>
        <v>토</v>
      </c>
      <c r="M184" s="17" t="str">
        <f>IFERROR(VLOOKUP(B184,공휴일!B:C,2,0),"")</f>
        <v/>
      </c>
    </row>
    <row r="185" spans="2:13" x14ac:dyDescent="0.3">
      <c r="B185" s="142">
        <v>46404</v>
      </c>
      <c r="C185" s="143" t="s">
        <v>14</v>
      </c>
      <c r="D185" s="144"/>
      <c r="E185" s="143" t="s">
        <v>18</v>
      </c>
      <c r="F185" s="144"/>
      <c r="G185" s="147"/>
      <c r="H185" s="148" t="str">
        <f>IF(WORKDAY(B185-1,1,공휴일!$B$4:$B$24)=B185,IF(WORKDAY(B185,1,공휴일!$B$4:$B$24)&lt;&gt;B185+1,"금요일","평일"),IF(WORKDAY(B185,1,공휴일!$B$4:$B$24)&lt;&gt;B185+1,"토요일","일요일"))</f>
        <v>일요일</v>
      </c>
      <c r="I185" s="125" t="str">
        <f t="shared" si="11"/>
        <v>2027-01</v>
      </c>
      <c r="J185" s="93" t="str">
        <f t="shared" si="14"/>
        <v>고석규</v>
      </c>
      <c r="K185" s="93" t="str">
        <f t="shared" si="15"/>
        <v>이승현</v>
      </c>
      <c r="L185" s="16" t="str">
        <f t="shared" si="16"/>
        <v>일</v>
      </c>
      <c r="M185" s="17" t="str">
        <f>IFERROR(VLOOKUP(B185,공휴일!B:C,2,0),"")</f>
        <v/>
      </c>
    </row>
    <row r="186" spans="2:13" x14ac:dyDescent="0.3">
      <c r="B186" s="142">
        <v>46405</v>
      </c>
      <c r="C186" s="143" t="s">
        <v>12</v>
      </c>
      <c r="D186" s="144"/>
      <c r="E186" s="143" t="s">
        <v>10</v>
      </c>
      <c r="F186" s="144"/>
      <c r="G186" s="147"/>
      <c r="H186" s="148" t="str">
        <f>IF(WORKDAY(B186-1,1,공휴일!$B$4:$B$24)=B186,IF(WORKDAY(B186,1,공휴일!$B$4:$B$24)&lt;&gt;B186+1,"금요일","평일"),IF(WORKDAY(B186,1,공휴일!$B$4:$B$24)&lt;&gt;B186+1,"토요일","일요일"))</f>
        <v>평일</v>
      </c>
      <c r="I186" s="125" t="str">
        <f t="shared" si="11"/>
        <v>2027-01</v>
      </c>
      <c r="J186" s="93" t="str">
        <f t="shared" si="14"/>
        <v>한문영</v>
      </c>
      <c r="K186" s="93" t="str">
        <f t="shared" si="15"/>
        <v>유진수</v>
      </c>
      <c r="L186" s="16" t="str">
        <f t="shared" si="16"/>
        <v>월</v>
      </c>
      <c r="M186" s="17" t="str">
        <f>IFERROR(VLOOKUP(B186,공휴일!B:C,2,0),"")</f>
        <v/>
      </c>
    </row>
    <row r="187" spans="2:13" x14ac:dyDescent="0.3">
      <c r="B187" s="142">
        <v>46406</v>
      </c>
      <c r="C187" s="143" t="s">
        <v>16</v>
      </c>
      <c r="D187" s="144"/>
      <c r="E187" s="143" t="s">
        <v>20</v>
      </c>
      <c r="F187" s="144"/>
      <c r="G187" s="147"/>
      <c r="H187" s="148" t="str">
        <f>IF(WORKDAY(B187-1,1,공휴일!$B$4:$B$24)=B187,IF(WORKDAY(B187,1,공휴일!$B$4:$B$24)&lt;&gt;B187+1,"금요일","평일"),IF(WORKDAY(B187,1,공휴일!$B$4:$B$24)&lt;&gt;B187+1,"토요일","일요일"))</f>
        <v>평일</v>
      </c>
      <c r="I187" s="125" t="str">
        <f t="shared" si="11"/>
        <v>2027-01</v>
      </c>
      <c r="J187" s="93" t="str">
        <f t="shared" si="14"/>
        <v>이현숙</v>
      </c>
      <c r="K187" s="93" t="str">
        <f t="shared" si="15"/>
        <v>이원철</v>
      </c>
      <c r="L187" s="16" t="str">
        <f t="shared" si="16"/>
        <v>화</v>
      </c>
      <c r="M187" s="17" t="str">
        <f>IFERROR(VLOOKUP(B187,공휴일!B:C,2,0),"")</f>
        <v/>
      </c>
    </row>
    <row r="188" spans="2:13" x14ac:dyDescent="0.3">
      <c r="B188" s="142">
        <v>46407</v>
      </c>
      <c r="C188" s="143" t="s">
        <v>13</v>
      </c>
      <c r="D188" s="144"/>
      <c r="E188" s="143" t="s">
        <v>21</v>
      </c>
      <c r="F188" s="144"/>
      <c r="G188" s="147"/>
      <c r="H188" s="148" t="str">
        <f>IF(WORKDAY(B188-1,1,공휴일!$B$4:$B$24)=B188,IF(WORKDAY(B188,1,공휴일!$B$4:$B$24)&lt;&gt;B188+1,"금요일","평일"),IF(WORKDAY(B188,1,공휴일!$B$4:$B$24)&lt;&gt;B188+1,"토요일","일요일"))</f>
        <v>평일</v>
      </c>
      <c r="I188" s="125" t="str">
        <f t="shared" si="11"/>
        <v>2027-01</v>
      </c>
      <c r="J188" s="93" t="str">
        <f t="shared" si="14"/>
        <v>안지영</v>
      </c>
      <c r="K188" s="93" t="str">
        <f t="shared" si="15"/>
        <v>정찬웅</v>
      </c>
      <c r="L188" s="16" t="str">
        <f t="shared" si="16"/>
        <v>수</v>
      </c>
      <c r="M188" s="17" t="str">
        <f>IFERROR(VLOOKUP(B188,공휴일!B:C,2,0),"")</f>
        <v/>
      </c>
    </row>
    <row r="189" spans="2:13" x14ac:dyDescent="0.3">
      <c r="B189" s="142">
        <v>46408</v>
      </c>
      <c r="C189" s="143" t="s">
        <v>41</v>
      </c>
      <c r="D189" s="144"/>
      <c r="E189" s="143" t="s">
        <v>22</v>
      </c>
      <c r="F189" s="144"/>
      <c r="G189" s="147"/>
      <c r="H189" s="148" t="str">
        <f>IF(WORKDAY(B189-1,1,공휴일!$B$4:$B$24)=B189,IF(WORKDAY(B189,1,공휴일!$B$4:$B$24)&lt;&gt;B189+1,"금요일","평일"),IF(WORKDAY(B189,1,공휴일!$B$4:$B$24)&lt;&gt;B189+1,"토요일","일요일"))</f>
        <v>평일</v>
      </c>
      <c r="I189" s="125" t="str">
        <f t="shared" si="11"/>
        <v>2027-01</v>
      </c>
      <c r="J189" s="93" t="str">
        <f t="shared" si="14"/>
        <v>송남철</v>
      </c>
      <c r="K189" s="93" t="str">
        <f t="shared" si="15"/>
        <v>서진호</v>
      </c>
      <c r="L189" s="16" t="str">
        <f t="shared" si="16"/>
        <v>목</v>
      </c>
      <c r="M189" s="17" t="str">
        <f>IFERROR(VLOOKUP(B189,공휴일!B:C,2,0),"")</f>
        <v/>
      </c>
    </row>
    <row r="190" spans="2:13" x14ac:dyDescent="0.3">
      <c r="B190" s="142">
        <v>46409</v>
      </c>
      <c r="C190" s="143" t="s">
        <v>17</v>
      </c>
      <c r="D190" s="144"/>
      <c r="E190" s="143" t="s">
        <v>11</v>
      </c>
      <c r="F190" s="144"/>
      <c r="G190" s="147"/>
      <c r="H190" s="148" t="str">
        <f>IF(WORKDAY(B190-1,1,공휴일!$B$4:$B$24)=B190,IF(WORKDAY(B190,1,공휴일!$B$4:$B$24)&lt;&gt;B190+1,"금요일","평일"),IF(WORKDAY(B190,1,공휴일!$B$4:$B$24)&lt;&gt;B190+1,"토요일","일요일"))</f>
        <v>금요일</v>
      </c>
      <c r="I190" s="125" t="str">
        <f t="shared" si="11"/>
        <v>2027-01</v>
      </c>
      <c r="J190" s="93" t="str">
        <f t="shared" si="14"/>
        <v>신혜원</v>
      </c>
      <c r="K190" s="93" t="str">
        <f t="shared" si="15"/>
        <v>장민우</v>
      </c>
      <c r="L190" s="16" t="str">
        <f t="shared" si="16"/>
        <v>금</v>
      </c>
      <c r="M190" s="17" t="str">
        <f>IFERROR(VLOOKUP(B190,공휴일!B:C,2,0),"")</f>
        <v/>
      </c>
    </row>
    <row r="191" spans="2:13" x14ac:dyDescent="0.3">
      <c r="B191" s="142">
        <v>46410</v>
      </c>
      <c r="C191" s="143" t="s">
        <v>40</v>
      </c>
      <c r="D191" s="144"/>
      <c r="E191" s="143" t="s">
        <v>19</v>
      </c>
      <c r="F191" s="144"/>
      <c r="G191" s="147"/>
      <c r="H191" s="148" t="str">
        <f>IF(WORKDAY(B191-1,1,공휴일!$B$4:$B$24)=B191,IF(WORKDAY(B191,1,공휴일!$B$4:$B$24)&lt;&gt;B191+1,"금요일","평일"),IF(WORKDAY(B191,1,공휴일!$B$4:$B$24)&lt;&gt;B191+1,"토요일","일요일"))</f>
        <v>토요일</v>
      </c>
      <c r="I191" s="125" t="str">
        <f t="shared" si="11"/>
        <v>2027-01</v>
      </c>
      <c r="J191" s="93" t="str">
        <f t="shared" si="14"/>
        <v>여철호</v>
      </c>
      <c r="K191" s="93" t="str">
        <f t="shared" si="15"/>
        <v>우정수</v>
      </c>
      <c r="L191" s="16" t="str">
        <f t="shared" si="16"/>
        <v>토</v>
      </c>
      <c r="M191" s="17" t="str">
        <f>IFERROR(VLOOKUP(B191,공휴일!B:C,2,0),"")</f>
        <v/>
      </c>
    </row>
    <row r="192" spans="2:13" x14ac:dyDescent="0.3">
      <c r="B192" s="142">
        <v>46411</v>
      </c>
      <c r="C192" s="143" t="s">
        <v>15</v>
      </c>
      <c r="D192" s="144"/>
      <c r="E192" s="143" t="s">
        <v>44</v>
      </c>
      <c r="F192" s="144"/>
      <c r="G192" s="147"/>
      <c r="H192" s="148" t="str">
        <f>IF(WORKDAY(B192-1,1,공휴일!$B$4:$B$24)=B192,IF(WORKDAY(B192,1,공휴일!$B$4:$B$24)&lt;&gt;B192+1,"금요일","평일"),IF(WORKDAY(B192,1,공휴일!$B$4:$B$24)&lt;&gt;B192+1,"토요일","일요일"))</f>
        <v>일요일</v>
      </c>
      <c r="I192" s="125" t="str">
        <f t="shared" si="11"/>
        <v>2027-01</v>
      </c>
      <c r="J192" s="93" t="str">
        <f t="shared" si="14"/>
        <v>구민아</v>
      </c>
      <c r="K192" s="93" t="str">
        <f t="shared" si="15"/>
        <v>오기희</v>
      </c>
      <c r="L192" s="16" t="str">
        <f t="shared" si="16"/>
        <v>일</v>
      </c>
      <c r="M192" s="17" t="str">
        <f>IFERROR(VLOOKUP(B192,공휴일!B:C,2,0),"")</f>
        <v/>
      </c>
    </row>
    <row r="193" spans="2:13" x14ac:dyDescent="0.3">
      <c r="B193" s="142">
        <v>46412</v>
      </c>
      <c r="C193" s="143" t="s">
        <v>14</v>
      </c>
      <c r="D193" s="144"/>
      <c r="E193" s="143" t="s">
        <v>18</v>
      </c>
      <c r="F193" s="144"/>
      <c r="G193" s="147"/>
      <c r="H193" s="148" t="str">
        <f>IF(WORKDAY(B193-1,1,공휴일!$B$4:$B$24)=B193,IF(WORKDAY(B193,1,공휴일!$B$4:$B$24)&lt;&gt;B193+1,"금요일","평일"),IF(WORKDAY(B193,1,공휴일!$B$4:$B$24)&lt;&gt;B193+1,"토요일","일요일"))</f>
        <v>평일</v>
      </c>
      <c r="I193" s="125" t="str">
        <f t="shared" si="11"/>
        <v>2027-01</v>
      </c>
      <c r="J193" s="93" t="str">
        <f t="shared" si="14"/>
        <v>고석규</v>
      </c>
      <c r="K193" s="93" t="str">
        <f t="shared" si="15"/>
        <v>이승현</v>
      </c>
      <c r="L193" s="16" t="str">
        <f t="shared" si="16"/>
        <v>월</v>
      </c>
      <c r="M193" s="17" t="str">
        <f>IFERROR(VLOOKUP(B193,공휴일!B:C,2,0),"")</f>
        <v/>
      </c>
    </row>
    <row r="194" spans="2:13" x14ac:dyDescent="0.3">
      <c r="B194" s="142">
        <v>46413</v>
      </c>
      <c r="C194" s="143" t="s">
        <v>12</v>
      </c>
      <c r="D194" s="144"/>
      <c r="E194" s="143" t="s">
        <v>10</v>
      </c>
      <c r="F194" s="144"/>
      <c r="G194" s="147"/>
      <c r="H194" s="148" t="str">
        <f>IF(WORKDAY(B194-1,1,공휴일!$B$4:$B$24)=B194,IF(WORKDAY(B194,1,공휴일!$B$4:$B$24)&lt;&gt;B194+1,"금요일","평일"),IF(WORKDAY(B194,1,공휴일!$B$4:$B$24)&lt;&gt;B194+1,"토요일","일요일"))</f>
        <v>평일</v>
      </c>
      <c r="I194" s="125" t="str">
        <f t="shared" si="11"/>
        <v>2027-01</v>
      </c>
      <c r="J194" s="93" t="str">
        <f t="shared" si="14"/>
        <v>한문영</v>
      </c>
      <c r="K194" s="93" t="str">
        <f t="shared" si="15"/>
        <v>유진수</v>
      </c>
      <c r="L194" s="16" t="str">
        <f t="shared" si="16"/>
        <v>화</v>
      </c>
      <c r="M194" s="17" t="str">
        <f>IFERROR(VLOOKUP(B194,공휴일!B:C,2,0),"")</f>
        <v/>
      </c>
    </row>
    <row r="195" spans="2:13" x14ac:dyDescent="0.3">
      <c r="B195" s="142">
        <v>46414</v>
      </c>
      <c r="C195" s="143" t="s">
        <v>16</v>
      </c>
      <c r="D195" s="144"/>
      <c r="E195" s="143" t="s">
        <v>20</v>
      </c>
      <c r="F195" s="144"/>
      <c r="G195" s="147"/>
      <c r="H195" s="148" t="str">
        <f>IF(WORKDAY(B195-1,1,공휴일!$B$4:$B$24)=B195,IF(WORKDAY(B195,1,공휴일!$B$4:$B$24)&lt;&gt;B195+1,"금요일","평일"),IF(WORKDAY(B195,1,공휴일!$B$4:$B$24)&lt;&gt;B195+1,"토요일","일요일"))</f>
        <v>평일</v>
      </c>
      <c r="I195" s="125" t="str">
        <f t="shared" si="11"/>
        <v>2027-01</v>
      </c>
      <c r="J195" s="93" t="str">
        <f t="shared" si="14"/>
        <v>이현숙</v>
      </c>
      <c r="K195" s="93" t="str">
        <f t="shared" si="15"/>
        <v>이원철</v>
      </c>
      <c r="L195" s="16" t="str">
        <f t="shared" si="16"/>
        <v>수</v>
      </c>
      <c r="M195" s="17" t="str">
        <f>IFERROR(VLOOKUP(B195,공휴일!B:C,2,0),"")</f>
        <v/>
      </c>
    </row>
    <row r="196" spans="2:13" x14ac:dyDescent="0.3">
      <c r="B196" s="142">
        <v>46415</v>
      </c>
      <c r="C196" s="143" t="s">
        <v>13</v>
      </c>
      <c r="D196" s="144"/>
      <c r="E196" s="143" t="s">
        <v>21</v>
      </c>
      <c r="F196" s="144"/>
      <c r="G196" s="147"/>
      <c r="H196" s="148" t="str">
        <f>IF(WORKDAY(B196-1,1,공휴일!$B$4:$B$24)=B196,IF(WORKDAY(B196,1,공휴일!$B$4:$B$24)&lt;&gt;B196+1,"금요일","평일"),IF(WORKDAY(B196,1,공휴일!$B$4:$B$24)&lt;&gt;B196+1,"토요일","일요일"))</f>
        <v>평일</v>
      </c>
      <c r="I196" s="125" t="str">
        <f t="shared" si="11"/>
        <v>2027-01</v>
      </c>
      <c r="J196" s="93" t="str">
        <f t="shared" si="14"/>
        <v>안지영</v>
      </c>
      <c r="K196" s="93" t="str">
        <f t="shared" si="15"/>
        <v>정찬웅</v>
      </c>
      <c r="L196" s="16" t="str">
        <f t="shared" si="16"/>
        <v>목</v>
      </c>
      <c r="M196" s="17" t="str">
        <f>IFERROR(VLOOKUP(B196,공휴일!B:C,2,0),"")</f>
        <v/>
      </c>
    </row>
    <row r="197" spans="2:13" x14ac:dyDescent="0.3">
      <c r="B197" s="142">
        <v>46416</v>
      </c>
      <c r="C197" s="143" t="s">
        <v>41</v>
      </c>
      <c r="D197" s="144"/>
      <c r="E197" s="143" t="s">
        <v>22</v>
      </c>
      <c r="F197" s="144"/>
      <c r="G197" s="147"/>
      <c r="H197" s="148" t="str">
        <f>IF(WORKDAY(B197-1,1,공휴일!$B$4:$B$24)=B197,IF(WORKDAY(B197,1,공휴일!$B$4:$B$24)&lt;&gt;B197+1,"금요일","평일"),IF(WORKDAY(B197,1,공휴일!$B$4:$B$24)&lt;&gt;B197+1,"토요일","일요일"))</f>
        <v>금요일</v>
      </c>
      <c r="I197" s="125" t="str">
        <f t="shared" si="11"/>
        <v>2027-01</v>
      </c>
      <c r="J197" s="93" t="str">
        <f t="shared" si="14"/>
        <v>송남철</v>
      </c>
      <c r="K197" s="93" t="str">
        <f t="shared" si="15"/>
        <v>서진호</v>
      </c>
      <c r="L197" s="16" t="str">
        <f t="shared" si="16"/>
        <v>금</v>
      </c>
      <c r="M197" s="17" t="str">
        <f>IFERROR(VLOOKUP(B197,공휴일!B:C,2,0),"")</f>
        <v/>
      </c>
    </row>
    <row r="198" spans="2:13" x14ac:dyDescent="0.3">
      <c r="B198" s="142">
        <v>46417</v>
      </c>
      <c r="C198" s="143" t="s">
        <v>17</v>
      </c>
      <c r="D198" s="144"/>
      <c r="E198" s="143" t="s">
        <v>11</v>
      </c>
      <c r="F198" s="144"/>
      <c r="G198" s="147"/>
      <c r="H198" s="148" t="str">
        <f>IF(WORKDAY(B198-1,1,공휴일!$B$4:$B$24)=B198,IF(WORKDAY(B198,1,공휴일!$B$4:$B$24)&lt;&gt;B198+1,"금요일","평일"),IF(WORKDAY(B198,1,공휴일!$B$4:$B$24)&lt;&gt;B198+1,"토요일","일요일"))</f>
        <v>토요일</v>
      </c>
      <c r="I198" s="125" t="str">
        <f t="shared" ref="I198:I261" si="17">TEXT(B198,"yyyy-mm")</f>
        <v>2027-01</v>
      </c>
      <c r="J198" s="93" t="str">
        <f t="shared" si="14"/>
        <v>신혜원</v>
      </c>
      <c r="K198" s="93" t="str">
        <f t="shared" si="15"/>
        <v>장민우</v>
      </c>
      <c r="L198" s="16" t="str">
        <f t="shared" si="16"/>
        <v>토</v>
      </c>
      <c r="M198" s="17" t="str">
        <f>IFERROR(VLOOKUP(B198,공휴일!B:C,2,0),"")</f>
        <v/>
      </c>
    </row>
    <row r="199" spans="2:13" x14ac:dyDescent="0.3">
      <c r="B199" s="142">
        <v>46418</v>
      </c>
      <c r="C199" s="143" t="s">
        <v>40</v>
      </c>
      <c r="D199" s="144"/>
      <c r="E199" s="143" t="s">
        <v>19</v>
      </c>
      <c r="F199" s="144"/>
      <c r="G199" s="147"/>
      <c r="H199" s="148" t="str">
        <f>IF(WORKDAY(B199-1,1,공휴일!$B$4:$B$24)=B199,IF(WORKDAY(B199,1,공휴일!$B$4:$B$24)&lt;&gt;B199+1,"금요일","평일"),IF(WORKDAY(B199,1,공휴일!$B$4:$B$24)&lt;&gt;B199+1,"토요일","일요일"))</f>
        <v>일요일</v>
      </c>
      <c r="I199" s="125" t="str">
        <f t="shared" si="17"/>
        <v>2027-01</v>
      </c>
      <c r="J199" s="93" t="str">
        <f t="shared" si="14"/>
        <v>여철호</v>
      </c>
      <c r="K199" s="93" t="str">
        <f t="shared" si="15"/>
        <v>우정수</v>
      </c>
      <c r="L199" s="16" t="str">
        <f t="shared" si="16"/>
        <v>일</v>
      </c>
      <c r="M199" s="17" t="str">
        <f>IFERROR(VLOOKUP(B199,공휴일!B:C,2,0),"")</f>
        <v/>
      </c>
    </row>
    <row r="200" spans="2:13" x14ac:dyDescent="0.3">
      <c r="B200" s="142">
        <v>46419</v>
      </c>
      <c r="C200" s="143" t="s">
        <v>15</v>
      </c>
      <c r="D200" s="144"/>
      <c r="E200" s="143" t="s">
        <v>44</v>
      </c>
      <c r="F200" s="144"/>
      <c r="G200" s="147"/>
      <c r="H200" s="148" t="str">
        <f>IF(WORKDAY(B200-1,1,공휴일!$B$4:$B$24)=B200,IF(WORKDAY(B200,1,공휴일!$B$4:$B$24)&lt;&gt;B200+1,"금요일","평일"),IF(WORKDAY(B200,1,공휴일!$B$4:$B$24)&lt;&gt;B200+1,"토요일","일요일"))</f>
        <v>평일</v>
      </c>
      <c r="I200" s="125" t="str">
        <f t="shared" si="17"/>
        <v>2027-02</v>
      </c>
      <c r="J200" s="93" t="str">
        <f t="shared" si="14"/>
        <v>구민아</v>
      </c>
      <c r="K200" s="93" t="str">
        <f t="shared" si="15"/>
        <v>오기희</v>
      </c>
      <c r="L200" s="16" t="str">
        <f t="shared" si="16"/>
        <v>월</v>
      </c>
      <c r="M200" s="17" t="str">
        <f>IFERROR(VLOOKUP(B200,공휴일!B:C,2,0),"")</f>
        <v/>
      </c>
    </row>
    <row r="201" spans="2:13" x14ac:dyDescent="0.3">
      <c r="B201" s="142">
        <v>46420</v>
      </c>
      <c r="C201" s="143" t="s">
        <v>14</v>
      </c>
      <c r="D201" s="144"/>
      <c r="E201" s="143" t="s">
        <v>18</v>
      </c>
      <c r="F201" s="144"/>
      <c r="G201" s="147"/>
      <c r="H201" s="148" t="str">
        <f>IF(WORKDAY(B201-1,1,공휴일!$B$4:$B$24)=B201,IF(WORKDAY(B201,1,공휴일!$B$4:$B$24)&lt;&gt;B201+1,"금요일","평일"),IF(WORKDAY(B201,1,공휴일!$B$4:$B$24)&lt;&gt;B201+1,"토요일","일요일"))</f>
        <v>평일</v>
      </c>
      <c r="I201" s="125" t="str">
        <f t="shared" si="17"/>
        <v>2027-02</v>
      </c>
      <c r="J201" s="93" t="str">
        <f t="shared" si="14"/>
        <v>고석규</v>
      </c>
      <c r="K201" s="93" t="str">
        <f t="shared" si="15"/>
        <v>이승현</v>
      </c>
      <c r="L201" s="16" t="str">
        <f t="shared" si="16"/>
        <v>화</v>
      </c>
      <c r="M201" s="17" t="str">
        <f>IFERROR(VLOOKUP(B201,공휴일!B:C,2,0),"")</f>
        <v/>
      </c>
    </row>
    <row r="202" spans="2:13" x14ac:dyDescent="0.3">
      <c r="B202" s="142">
        <v>46421</v>
      </c>
      <c r="C202" s="143" t="s">
        <v>12</v>
      </c>
      <c r="D202" s="144"/>
      <c r="E202" s="143" t="s">
        <v>10</v>
      </c>
      <c r="F202" s="144"/>
      <c r="G202" s="147"/>
      <c r="H202" s="148" t="str">
        <f>IF(WORKDAY(B202-1,1,공휴일!$B$4:$B$24)=B202,IF(WORKDAY(B202,1,공휴일!$B$4:$B$24)&lt;&gt;B202+1,"금요일","평일"),IF(WORKDAY(B202,1,공휴일!$B$4:$B$24)&lt;&gt;B202+1,"토요일","일요일"))</f>
        <v>평일</v>
      </c>
      <c r="I202" s="125" t="str">
        <f t="shared" si="17"/>
        <v>2027-02</v>
      </c>
      <c r="J202" s="93" t="str">
        <f t="shared" si="14"/>
        <v>한문영</v>
      </c>
      <c r="K202" s="93" t="str">
        <f t="shared" si="15"/>
        <v>유진수</v>
      </c>
      <c r="L202" s="16" t="str">
        <f t="shared" si="16"/>
        <v>수</v>
      </c>
      <c r="M202" s="17" t="str">
        <f>IFERROR(VLOOKUP(B202,공휴일!B:C,2,0),"")</f>
        <v/>
      </c>
    </row>
    <row r="203" spans="2:13" x14ac:dyDescent="0.3">
      <c r="B203" s="142">
        <v>46422</v>
      </c>
      <c r="C203" s="143" t="s">
        <v>16</v>
      </c>
      <c r="D203" s="144"/>
      <c r="E203" s="143" t="s">
        <v>20</v>
      </c>
      <c r="F203" s="144"/>
      <c r="G203" s="147"/>
      <c r="H203" s="148" t="str">
        <f>IF(WORKDAY(B203-1,1,공휴일!$B$4:$B$24)=B203,IF(WORKDAY(B203,1,공휴일!$B$4:$B$24)&lt;&gt;B203+1,"금요일","평일"),IF(WORKDAY(B203,1,공휴일!$B$4:$B$24)&lt;&gt;B203+1,"토요일","일요일"))</f>
        <v>평일</v>
      </c>
      <c r="I203" s="125" t="str">
        <f t="shared" si="17"/>
        <v>2027-02</v>
      </c>
      <c r="J203" s="93" t="str">
        <f t="shared" si="14"/>
        <v>이현숙</v>
      </c>
      <c r="K203" s="93" t="str">
        <f t="shared" si="15"/>
        <v>이원철</v>
      </c>
      <c r="L203" s="16" t="str">
        <f t="shared" si="16"/>
        <v>목</v>
      </c>
      <c r="M203" s="17" t="str">
        <f>IFERROR(VLOOKUP(B203,공휴일!B:C,2,0),"")</f>
        <v/>
      </c>
    </row>
    <row r="204" spans="2:13" x14ac:dyDescent="0.3">
      <c r="B204" s="142">
        <v>46423</v>
      </c>
      <c r="C204" s="143" t="s">
        <v>13</v>
      </c>
      <c r="D204" s="144"/>
      <c r="E204" s="143" t="s">
        <v>21</v>
      </c>
      <c r="F204" s="144"/>
      <c r="G204" s="147"/>
      <c r="H204" s="148" t="str">
        <f>IF(WORKDAY(B204-1,1,공휴일!$B$4:$B$24)=B204,IF(WORKDAY(B204,1,공휴일!$B$4:$B$24)&lt;&gt;B204+1,"금요일","평일"),IF(WORKDAY(B204,1,공휴일!$B$4:$B$24)&lt;&gt;B204+1,"토요일","일요일"))</f>
        <v>금요일</v>
      </c>
      <c r="I204" s="125" t="str">
        <f t="shared" si="17"/>
        <v>2027-02</v>
      </c>
      <c r="J204" s="93" t="str">
        <f t="shared" si="14"/>
        <v>안지영</v>
      </c>
      <c r="K204" s="93" t="str">
        <f t="shared" si="15"/>
        <v>정찬웅</v>
      </c>
      <c r="L204" s="16" t="str">
        <f t="shared" si="16"/>
        <v>금</v>
      </c>
      <c r="M204" s="17" t="str">
        <f>IFERROR(VLOOKUP(B204,공휴일!B:C,2,0),"")</f>
        <v/>
      </c>
    </row>
    <row r="205" spans="2:13" x14ac:dyDescent="0.3">
      <c r="B205" s="142">
        <v>46424</v>
      </c>
      <c r="C205" s="143" t="s">
        <v>41</v>
      </c>
      <c r="D205" s="144"/>
      <c r="E205" s="143" t="s">
        <v>22</v>
      </c>
      <c r="F205" s="144"/>
      <c r="G205" s="147"/>
      <c r="H205" s="148" t="str">
        <f>IF(WORKDAY(B205-1,1,공휴일!$B$4:$B$24)=B205,IF(WORKDAY(B205,1,공휴일!$B$4:$B$24)&lt;&gt;B205+1,"금요일","평일"),IF(WORKDAY(B205,1,공휴일!$B$4:$B$24)&lt;&gt;B205+1,"토요일","일요일"))</f>
        <v>토요일</v>
      </c>
      <c r="I205" s="125" t="str">
        <f t="shared" si="17"/>
        <v>2027-02</v>
      </c>
      <c r="J205" s="93" t="str">
        <f t="shared" si="14"/>
        <v>송남철</v>
      </c>
      <c r="K205" s="93" t="str">
        <f t="shared" si="15"/>
        <v>서진호</v>
      </c>
      <c r="L205" s="16" t="str">
        <f t="shared" si="16"/>
        <v>토</v>
      </c>
      <c r="M205" s="17" t="str">
        <f>IFERROR(VLOOKUP(B205,공휴일!B:C,2,0),"")</f>
        <v/>
      </c>
    </row>
    <row r="206" spans="2:13" x14ac:dyDescent="0.3">
      <c r="B206" s="142">
        <v>46425</v>
      </c>
      <c r="C206" s="143" t="s">
        <v>17</v>
      </c>
      <c r="D206" s="144"/>
      <c r="E206" s="143" t="s">
        <v>11</v>
      </c>
      <c r="F206" s="144"/>
      <c r="G206" s="147"/>
      <c r="H206" s="148" t="str">
        <f>IF(WORKDAY(B206-1,1,공휴일!$B$4:$B$24)=B206,IF(WORKDAY(B206,1,공휴일!$B$4:$B$24)&lt;&gt;B206+1,"금요일","평일"),IF(WORKDAY(B206,1,공휴일!$B$4:$B$24)&lt;&gt;B206+1,"토요일","일요일"))</f>
        <v>일요일</v>
      </c>
      <c r="I206" s="125" t="str">
        <f t="shared" si="17"/>
        <v>2027-02</v>
      </c>
      <c r="J206" s="93" t="str">
        <f t="shared" si="14"/>
        <v>신혜원</v>
      </c>
      <c r="K206" s="93" t="str">
        <f t="shared" si="15"/>
        <v>장민우</v>
      </c>
      <c r="L206" s="16" t="str">
        <f t="shared" si="16"/>
        <v>일</v>
      </c>
      <c r="M206" s="17" t="str">
        <f>IFERROR(VLOOKUP(B206,공휴일!B:C,2,0),"")</f>
        <v/>
      </c>
    </row>
    <row r="207" spans="2:13" x14ac:dyDescent="0.3">
      <c r="B207" s="142">
        <v>46426</v>
      </c>
      <c r="C207" s="143" t="s">
        <v>40</v>
      </c>
      <c r="D207" s="144"/>
      <c r="E207" s="143" t="s">
        <v>19</v>
      </c>
      <c r="F207" s="144"/>
      <c r="G207" s="147"/>
      <c r="H207" s="148" t="str">
        <f>IF(WORKDAY(B207-1,1,공휴일!$B$4:$B$24)=B207,IF(WORKDAY(B207,1,공휴일!$B$4:$B$24)&lt;&gt;B207+1,"금요일","평일"),IF(WORKDAY(B207,1,공휴일!$B$4:$B$24)&lt;&gt;B207+1,"토요일","일요일"))</f>
        <v>평일</v>
      </c>
      <c r="I207" s="125" t="str">
        <f t="shared" si="17"/>
        <v>2027-02</v>
      </c>
      <c r="J207" s="93" t="str">
        <f t="shared" si="14"/>
        <v>여철호</v>
      </c>
      <c r="K207" s="93" t="str">
        <f t="shared" si="15"/>
        <v>우정수</v>
      </c>
      <c r="L207" s="16" t="str">
        <f t="shared" si="16"/>
        <v>월</v>
      </c>
      <c r="M207" s="17" t="str">
        <f>IFERROR(VLOOKUP(B207,공휴일!B:C,2,0),"")</f>
        <v/>
      </c>
    </row>
    <row r="208" spans="2:13" x14ac:dyDescent="0.3">
      <c r="B208" s="142">
        <v>46427</v>
      </c>
      <c r="C208" s="143" t="s">
        <v>15</v>
      </c>
      <c r="D208" s="144"/>
      <c r="E208" s="143" t="s">
        <v>44</v>
      </c>
      <c r="F208" s="144"/>
      <c r="G208" s="147"/>
      <c r="H208" s="148" t="str">
        <f>IF(WORKDAY(B208-1,1,공휴일!$B$4:$B$24)=B208,IF(WORKDAY(B208,1,공휴일!$B$4:$B$24)&lt;&gt;B208+1,"금요일","평일"),IF(WORKDAY(B208,1,공휴일!$B$4:$B$24)&lt;&gt;B208+1,"토요일","일요일"))</f>
        <v>평일</v>
      </c>
      <c r="I208" s="125" t="str">
        <f t="shared" si="17"/>
        <v>2027-02</v>
      </c>
      <c r="J208" s="93" t="str">
        <f t="shared" si="14"/>
        <v>구민아</v>
      </c>
      <c r="K208" s="93" t="str">
        <f t="shared" si="15"/>
        <v>오기희</v>
      </c>
      <c r="L208" s="16" t="str">
        <f t="shared" si="16"/>
        <v>화</v>
      </c>
      <c r="M208" s="17" t="str">
        <f>IFERROR(VLOOKUP(B208,공휴일!B:C,2,0),"")</f>
        <v/>
      </c>
    </row>
    <row r="209" spans="2:13" x14ac:dyDescent="0.3">
      <c r="B209" s="142">
        <v>46428</v>
      </c>
      <c r="C209" s="143" t="s">
        <v>14</v>
      </c>
      <c r="D209" s="144"/>
      <c r="E209" s="143" t="s">
        <v>18</v>
      </c>
      <c r="F209" s="144"/>
      <c r="G209" s="147"/>
      <c r="H209" s="148" t="str">
        <f>IF(WORKDAY(B209-1,1,공휴일!$B$4:$B$24)=B209,IF(WORKDAY(B209,1,공휴일!$B$4:$B$24)&lt;&gt;B209+1,"금요일","평일"),IF(WORKDAY(B209,1,공휴일!$B$4:$B$24)&lt;&gt;B209+1,"토요일","일요일"))</f>
        <v>평일</v>
      </c>
      <c r="I209" s="125" t="str">
        <f t="shared" si="17"/>
        <v>2027-02</v>
      </c>
      <c r="J209" s="93" t="str">
        <f t="shared" si="14"/>
        <v>고석규</v>
      </c>
      <c r="K209" s="93" t="str">
        <f t="shared" si="15"/>
        <v>이승현</v>
      </c>
      <c r="L209" s="16" t="str">
        <f t="shared" si="16"/>
        <v>수</v>
      </c>
      <c r="M209" s="17" t="str">
        <f>IFERROR(VLOOKUP(B209,공휴일!B:C,2,0),"")</f>
        <v/>
      </c>
    </row>
    <row r="210" spans="2:13" x14ac:dyDescent="0.3">
      <c r="B210" s="142">
        <v>46429</v>
      </c>
      <c r="C210" s="143" t="s">
        <v>12</v>
      </c>
      <c r="D210" s="144"/>
      <c r="E210" s="143" t="s">
        <v>10</v>
      </c>
      <c r="F210" s="144"/>
      <c r="G210" s="147"/>
      <c r="H210" s="148" t="str">
        <f>IF(WORKDAY(B210-1,1,공휴일!$B$4:$B$24)=B210,IF(WORKDAY(B210,1,공휴일!$B$4:$B$24)&lt;&gt;B210+1,"금요일","평일"),IF(WORKDAY(B210,1,공휴일!$B$4:$B$24)&lt;&gt;B210+1,"토요일","일요일"))</f>
        <v>평일</v>
      </c>
      <c r="I210" s="125" t="str">
        <f t="shared" si="17"/>
        <v>2027-02</v>
      </c>
      <c r="J210" s="93" t="str">
        <f t="shared" si="14"/>
        <v>한문영</v>
      </c>
      <c r="K210" s="93" t="str">
        <f t="shared" si="15"/>
        <v>유진수</v>
      </c>
      <c r="L210" s="16" t="str">
        <f t="shared" si="16"/>
        <v>목</v>
      </c>
      <c r="M210" s="17" t="str">
        <f>IFERROR(VLOOKUP(B210,공휴일!B:C,2,0),"")</f>
        <v/>
      </c>
    </row>
    <row r="211" spans="2:13" x14ac:dyDescent="0.3">
      <c r="B211" s="142">
        <v>46430</v>
      </c>
      <c r="C211" s="143" t="s">
        <v>16</v>
      </c>
      <c r="D211" s="144"/>
      <c r="E211" s="143" t="s">
        <v>20</v>
      </c>
      <c r="F211" s="144"/>
      <c r="G211" s="147"/>
      <c r="H211" s="148" t="str">
        <f>IF(WORKDAY(B211-1,1,공휴일!$B$4:$B$24)=B211,IF(WORKDAY(B211,1,공휴일!$B$4:$B$24)&lt;&gt;B211+1,"금요일","평일"),IF(WORKDAY(B211,1,공휴일!$B$4:$B$24)&lt;&gt;B211+1,"토요일","일요일"))</f>
        <v>금요일</v>
      </c>
      <c r="I211" s="125" t="str">
        <f t="shared" si="17"/>
        <v>2027-02</v>
      </c>
      <c r="J211" s="93" t="str">
        <f t="shared" si="14"/>
        <v>이현숙</v>
      </c>
      <c r="K211" s="93" t="str">
        <f t="shared" si="15"/>
        <v>이원철</v>
      </c>
      <c r="L211" s="16" t="str">
        <f t="shared" si="16"/>
        <v>금</v>
      </c>
      <c r="M211" s="17" t="str">
        <f>IFERROR(VLOOKUP(B211,공휴일!B:C,2,0),"")</f>
        <v/>
      </c>
    </row>
    <row r="212" spans="2:13" x14ac:dyDescent="0.3">
      <c r="B212" s="142">
        <v>46431</v>
      </c>
      <c r="C212" s="143" t="s">
        <v>13</v>
      </c>
      <c r="D212" s="144"/>
      <c r="E212" s="143" t="s">
        <v>21</v>
      </c>
      <c r="F212" s="144"/>
      <c r="G212" s="147"/>
      <c r="H212" s="148" t="str">
        <f>IF(WORKDAY(B212-1,1,공휴일!$B$4:$B$24)=B212,IF(WORKDAY(B212,1,공휴일!$B$4:$B$24)&lt;&gt;B212+1,"금요일","평일"),IF(WORKDAY(B212,1,공휴일!$B$4:$B$24)&lt;&gt;B212+1,"토요일","일요일"))</f>
        <v>토요일</v>
      </c>
      <c r="I212" s="125" t="str">
        <f t="shared" si="17"/>
        <v>2027-02</v>
      </c>
      <c r="J212" s="93" t="str">
        <f t="shared" si="14"/>
        <v>안지영</v>
      </c>
      <c r="K212" s="93" t="str">
        <f t="shared" si="15"/>
        <v>정찬웅</v>
      </c>
      <c r="L212" s="16" t="str">
        <f t="shared" si="16"/>
        <v>토</v>
      </c>
      <c r="M212" s="17" t="str">
        <f>IFERROR(VLOOKUP(B212,공휴일!B:C,2,0),"")</f>
        <v/>
      </c>
    </row>
    <row r="213" spans="2:13" x14ac:dyDescent="0.3">
      <c r="B213" s="142">
        <v>46432</v>
      </c>
      <c r="C213" s="143" t="s">
        <v>41</v>
      </c>
      <c r="D213" s="144"/>
      <c r="E213" s="143" t="s">
        <v>22</v>
      </c>
      <c r="F213" s="144"/>
      <c r="G213" s="147"/>
      <c r="H213" s="148" t="str">
        <f>IF(WORKDAY(B213-1,1,공휴일!$B$4:$B$24)=B213,IF(WORKDAY(B213,1,공휴일!$B$4:$B$24)&lt;&gt;B213+1,"금요일","평일"),IF(WORKDAY(B213,1,공휴일!$B$4:$B$24)&lt;&gt;B213+1,"토요일","일요일"))</f>
        <v>일요일</v>
      </c>
      <c r="I213" s="125" t="str">
        <f t="shared" si="17"/>
        <v>2027-02</v>
      </c>
      <c r="J213" s="93" t="str">
        <f t="shared" si="14"/>
        <v>송남철</v>
      </c>
      <c r="K213" s="93" t="str">
        <f t="shared" si="15"/>
        <v>서진호</v>
      </c>
      <c r="L213" s="16" t="str">
        <f t="shared" si="16"/>
        <v>일</v>
      </c>
      <c r="M213" s="17" t="str">
        <f>IFERROR(VLOOKUP(B213,공휴일!B:C,2,0),"")</f>
        <v/>
      </c>
    </row>
    <row r="214" spans="2:13" x14ac:dyDescent="0.3">
      <c r="B214" s="142">
        <v>46433</v>
      </c>
      <c r="C214" s="143" t="s">
        <v>17</v>
      </c>
      <c r="D214" s="144"/>
      <c r="E214" s="143" t="s">
        <v>11</v>
      </c>
      <c r="F214" s="144"/>
      <c r="G214" s="147"/>
      <c r="H214" s="148" t="str">
        <f>IF(WORKDAY(B214-1,1,공휴일!$B$4:$B$24)=B214,IF(WORKDAY(B214,1,공휴일!$B$4:$B$24)&lt;&gt;B214+1,"금요일","평일"),IF(WORKDAY(B214,1,공휴일!$B$4:$B$24)&lt;&gt;B214+1,"토요일","일요일"))</f>
        <v>평일</v>
      </c>
      <c r="I214" s="125" t="str">
        <f t="shared" si="17"/>
        <v>2027-02</v>
      </c>
      <c r="J214" s="93" t="str">
        <f t="shared" si="14"/>
        <v>신혜원</v>
      </c>
      <c r="K214" s="93" t="str">
        <f t="shared" si="15"/>
        <v>장민우</v>
      </c>
      <c r="L214" s="16" t="str">
        <f t="shared" si="16"/>
        <v>월</v>
      </c>
      <c r="M214" s="17" t="str">
        <f>IFERROR(VLOOKUP(B214,공휴일!B:C,2,0),"")</f>
        <v/>
      </c>
    </row>
    <row r="215" spans="2:13" x14ac:dyDescent="0.3">
      <c r="B215" s="142">
        <v>46434</v>
      </c>
      <c r="C215" s="143" t="s">
        <v>40</v>
      </c>
      <c r="D215" s="144"/>
      <c r="E215" s="143" t="s">
        <v>19</v>
      </c>
      <c r="F215" s="144"/>
      <c r="G215" s="147"/>
      <c r="H215" s="148" t="str">
        <f>IF(WORKDAY(B215-1,1,공휴일!$B$4:$B$24)=B215,IF(WORKDAY(B215,1,공휴일!$B$4:$B$24)&lt;&gt;B215+1,"금요일","평일"),IF(WORKDAY(B215,1,공휴일!$B$4:$B$24)&lt;&gt;B215+1,"토요일","일요일"))</f>
        <v>평일</v>
      </c>
      <c r="I215" s="125" t="str">
        <f t="shared" si="17"/>
        <v>2027-02</v>
      </c>
      <c r="J215" s="93" t="str">
        <f t="shared" si="14"/>
        <v>여철호</v>
      </c>
      <c r="K215" s="93" t="str">
        <f t="shared" si="15"/>
        <v>우정수</v>
      </c>
      <c r="L215" s="16" t="str">
        <f t="shared" si="16"/>
        <v>화</v>
      </c>
      <c r="M215" s="17" t="str">
        <f>IFERROR(VLOOKUP(B215,공휴일!B:C,2,0),"")</f>
        <v>설날연휴</v>
      </c>
    </row>
    <row r="216" spans="2:13" x14ac:dyDescent="0.3">
      <c r="B216" s="142">
        <v>46435</v>
      </c>
      <c r="C216" s="143" t="s">
        <v>15</v>
      </c>
      <c r="D216" s="144"/>
      <c r="E216" s="143" t="s">
        <v>44</v>
      </c>
      <c r="F216" s="144"/>
      <c r="G216" s="147"/>
      <c r="H216" s="148" t="str">
        <f>IF(WORKDAY(B216-1,1,공휴일!$B$4:$B$24)=B216,IF(WORKDAY(B216,1,공휴일!$B$4:$B$24)&lt;&gt;B216+1,"금요일","평일"),IF(WORKDAY(B216,1,공휴일!$B$4:$B$24)&lt;&gt;B216+1,"토요일","일요일"))</f>
        <v>평일</v>
      </c>
      <c r="I216" s="125" t="str">
        <f t="shared" si="17"/>
        <v>2027-02</v>
      </c>
      <c r="J216" s="93" t="str">
        <f t="shared" si="14"/>
        <v>구민아</v>
      </c>
      <c r="K216" s="93" t="str">
        <f t="shared" si="15"/>
        <v>오기희</v>
      </c>
      <c r="L216" s="16" t="str">
        <f t="shared" si="16"/>
        <v>수</v>
      </c>
      <c r="M216" s="17" t="str">
        <f>IFERROR(VLOOKUP(B216,공휴일!B:C,2,0),"")</f>
        <v>설날</v>
      </c>
    </row>
    <row r="217" spans="2:13" x14ac:dyDescent="0.3">
      <c r="B217" s="142">
        <v>46436</v>
      </c>
      <c r="C217" s="143" t="s">
        <v>14</v>
      </c>
      <c r="D217" s="144"/>
      <c r="E217" s="143" t="s">
        <v>18</v>
      </c>
      <c r="F217" s="144"/>
      <c r="G217" s="147"/>
      <c r="H217" s="148" t="str">
        <f>IF(WORKDAY(B217-1,1,공휴일!$B$4:$B$24)=B217,IF(WORKDAY(B217,1,공휴일!$B$4:$B$24)&lt;&gt;B217+1,"금요일","평일"),IF(WORKDAY(B217,1,공휴일!$B$4:$B$24)&lt;&gt;B217+1,"토요일","일요일"))</f>
        <v>평일</v>
      </c>
      <c r="I217" s="125" t="str">
        <f t="shared" si="17"/>
        <v>2027-02</v>
      </c>
      <c r="J217" s="93" t="str">
        <f t="shared" si="14"/>
        <v>고석규</v>
      </c>
      <c r="K217" s="93" t="str">
        <f t="shared" si="15"/>
        <v>이승현</v>
      </c>
      <c r="L217" s="16" t="str">
        <f t="shared" si="16"/>
        <v>목</v>
      </c>
      <c r="M217" s="17" t="str">
        <f>IFERROR(VLOOKUP(B217,공휴일!B:C,2,0),"")</f>
        <v>설날연휴</v>
      </c>
    </row>
    <row r="218" spans="2:13" x14ac:dyDescent="0.3">
      <c r="B218" s="142">
        <v>46437</v>
      </c>
      <c r="C218" s="143" t="s">
        <v>12</v>
      </c>
      <c r="D218" s="144"/>
      <c r="E218" s="143" t="s">
        <v>10</v>
      </c>
      <c r="F218" s="144"/>
      <c r="G218" s="147"/>
      <c r="H218" s="148" t="str">
        <f>IF(WORKDAY(B218-1,1,공휴일!$B$4:$B$24)=B218,IF(WORKDAY(B218,1,공휴일!$B$4:$B$24)&lt;&gt;B218+1,"금요일","평일"),IF(WORKDAY(B218,1,공휴일!$B$4:$B$24)&lt;&gt;B218+1,"토요일","일요일"))</f>
        <v>금요일</v>
      </c>
      <c r="I218" s="125" t="str">
        <f t="shared" si="17"/>
        <v>2027-02</v>
      </c>
      <c r="J218" s="93" t="str">
        <f t="shared" si="14"/>
        <v>한문영</v>
      </c>
      <c r="K218" s="93" t="str">
        <f t="shared" si="15"/>
        <v>유진수</v>
      </c>
      <c r="L218" s="16" t="str">
        <f t="shared" si="16"/>
        <v>금</v>
      </c>
      <c r="M218" s="17" t="str">
        <f>IFERROR(VLOOKUP(B218,공휴일!B:C,2,0),"")</f>
        <v/>
      </c>
    </row>
    <row r="219" spans="2:13" x14ac:dyDescent="0.3">
      <c r="B219" s="142">
        <v>46438</v>
      </c>
      <c r="C219" s="143" t="s">
        <v>16</v>
      </c>
      <c r="D219" s="144"/>
      <c r="E219" s="143" t="s">
        <v>20</v>
      </c>
      <c r="F219" s="144"/>
      <c r="G219" s="147"/>
      <c r="H219" s="148" t="str">
        <f>IF(WORKDAY(B219-1,1,공휴일!$B$4:$B$24)=B219,IF(WORKDAY(B219,1,공휴일!$B$4:$B$24)&lt;&gt;B219+1,"금요일","평일"),IF(WORKDAY(B219,1,공휴일!$B$4:$B$24)&lt;&gt;B219+1,"토요일","일요일"))</f>
        <v>토요일</v>
      </c>
      <c r="I219" s="125" t="str">
        <f t="shared" si="17"/>
        <v>2027-02</v>
      </c>
      <c r="J219" s="93" t="str">
        <f t="shared" si="14"/>
        <v>이현숙</v>
      </c>
      <c r="K219" s="93" t="str">
        <f t="shared" si="15"/>
        <v>이원철</v>
      </c>
      <c r="L219" s="16" t="str">
        <f t="shared" si="16"/>
        <v>토</v>
      </c>
      <c r="M219" s="17" t="str">
        <f>IFERROR(VLOOKUP(B219,공휴일!B:C,2,0),"")</f>
        <v/>
      </c>
    </row>
    <row r="220" spans="2:13" x14ac:dyDescent="0.3">
      <c r="B220" s="142">
        <v>46439</v>
      </c>
      <c r="C220" s="143" t="s">
        <v>13</v>
      </c>
      <c r="D220" s="144"/>
      <c r="E220" s="143" t="s">
        <v>21</v>
      </c>
      <c r="F220" s="144"/>
      <c r="G220" s="147"/>
      <c r="H220" s="148" t="str">
        <f>IF(WORKDAY(B220-1,1,공휴일!$B$4:$B$24)=B220,IF(WORKDAY(B220,1,공휴일!$B$4:$B$24)&lt;&gt;B220+1,"금요일","평일"),IF(WORKDAY(B220,1,공휴일!$B$4:$B$24)&lt;&gt;B220+1,"토요일","일요일"))</f>
        <v>일요일</v>
      </c>
      <c r="I220" s="125" t="str">
        <f t="shared" si="17"/>
        <v>2027-02</v>
      </c>
      <c r="J220" s="93" t="str">
        <f t="shared" si="14"/>
        <v>안지영</v>
      </c>
      <c r="K220" s="93" t="str">
        <f t="shared" si="15"/>
        <v>정찬웅</v>
      </c>
      <c r="L220" s="16" t="str">
        <f t="shared" si="16"/>
        <v>일</v>
      </c>
      <c r="M220" s="17" t="str">
        <f>IFERROR(VLOOKUP(B220,공휴일!B:C,2,0),"")</f>
        <v/>
      </c>
    </row>
    <row r="221" spans="2:13" x14ac:dyDescent="0.3">
      <c r="B221" s="142">
        <v>46440</v>
      </c>
      <c r="C221" s="143" t="s">
        <v>41</v>
      </c>
      <c r="D221" s="144"/>
      <c r="E221" s="143" t="s">
        <v>22</v>
      </c>
      <c r="F221" s="144"/>
      <c r="G221" s="147"/>
      <c r="H221" s="148" t="str">
        <f>IF(WORKDAY(B221-1,1,공휴일!$B$4:$B$24)=B221,IF(WORKDAY(B221,1,공휴일!$B$4:$B$24)&lt;&gt;B221+1,"금요일","평일"),IF(WORKDAY(B221,1,공휴일!$B$4:$B$24)&lt;&gt;B221+1,"토요일","일요일"))</f>
        <v>평일</v>
      </c>
      <c r="I221" s="125" t="str">
        <f t="shared" si="17"/>
        <v>2027-02</v>
      </c>
      <c r="J221" s="93" t="str">
        <f t="shared" si="14"/>
        <v>송남철</v>
      </c>
      <c r="K221" s="93" t="str">
        <f t="shared" si="15"/>
        <v>서진호</v>
      </c>
      <c r="L221" s="16" t="str">
        <f t="shared" si="16"/>
        <v>월</v>
      </c>
      <c r="M221" s="17" t="str">
        <f>IFERROR(VLOOKUP(B221,공휴일!B:C,2,0),"")</f>
        <v/>
      </c>
    </row>
    <row r="222" spans="2:13" x14ac:dyDescent="0.3">
      <c r="B222" s="142">
        <v>46441</v>
      </c>
      <c r="C222" s="143" t="s">
        <v>17</v>
      </c>
      <c r="D222" s="144"/>
      <c r="E222" s="143" t="s">
        <v>11</v>
      </c>
      <c r="F222" s="144"/>
      <c r="G222" s="147"/>
      <c r="H222" s="148" t="str">
        <f>IF(WORKDAY(B222-1,1,공휴일!$B$4:$B$24)=B222,IF(WORKDAY(B222,1,공휴일!$B$4:$B$24)&lt;&gt;B222+1,"금요일","평일"),IF(WORKDAY(B222,1,공휴일!$B$4:$B$24)&lt;&gt;B222+1,"토요일","일요일"))</f>
        <v>평일</v>
      </c>
      <c r="I222" s="125" t="str">
        <f t="shared" si="17"/>
        <v>2027-02</v>
      </c>
      <c r="J222" s="93" t="str">
        <f t="shared" si="14"/>
        <v>신혜원</v>
      </c>
      <c r="K222" s="93" t="str">
        <f t="shared" si="15"/>
        <v>장민우</v>
      </c>
      <c r="L222" s="16" t="str">
        <f t="shared" si="16"/>
        <v>화</v>
      </c>
      <c r="M222" s="17" t="str">
        <f>IFERROR(VLOOKUP(B222,공휴일!B:C,2,0),"")</f>
        <v/>
      </c>
    </row>
    <row r="223" spans="2:13" x14ac:dyDescent="0.3">
      <c r="B223" s="142">
        <v>46442</v>
      </c>
      <c r="C223" s="143" t="s">
        <v>40</v>
      </c>
      <c r="D223" s="144"/>
      <c r="E223" s="143" t="s">
        <v>19</v>
      </c>
      <c r="F223" s="144"/>
      <c r="G223" s="147"/>
      <c r="H223" s="148" t="str">
        <f>IF(WORKDAY(B223-1,1,공휴일!$B$4:$B$24)=B223,IF(WORKDAY(B223,1,공휴일!$B$4:$B$24)&lt;&gt;B223+1,"금요일","평일"),IF(WORKDAY(B223,1,공휴일!$B$4:$B$24)&lt;&gt;B223+1,"토요일","일요일"))</f>
        <v>평일</v>
      </c>
      <c r="I223" s="125" t="str">
        <f t="shared" si="17"/>
        <v>2027-02</v>
      </c>
      <c r="J223" s="93" t="str">
        <f t="shared" si="14"/>
        <v>여철호</v>
      </c>
      <c r="K223" s="93" t="str">
        <f t="shared" si="15"/>
        <v>우정수</v>
      </c>
      <c r="L223" s="16" t="str">
        <f t="shared" si="16"/>
        <v>수</v>
      </c>
      <c r="M223" s="17" t="str">
        <f>IFERROR(VLOOKUP(B223,공휴일!B:C,2,0),"")</f>
        <v/>
      </c>
    </row>
    <row r="224" spans="2:13" x14ac:dyDescent="0.3">
      <c r="B224" s="142">
        <v>46443</v>
      </c>
      <c r="C224" s="143" t="s">
        <v>15</v>
      </c>
      <c r="D224" s="144"/>
      <c r="E224" s="143" t="s">
        <v>44</v>
      </c>
      <c r="F224" s="144"/>
      <c r="G224" s="147"/>
      <c r="H224" s="148" t="str">
        <f>IF(WORKDAY(B224-1,1,공휴일!$B$4:$B$24)=B224,IF(WORKDAY(B224,1,공휴일!$B$4:$B$24)&lt;&gt;B224+1,"금요일","평일"),IF(WORKDAY(B224,1,공휴일!$B$4:$B$24)&lt;&gt;B224+1,"토요일","일요일"))</f>
        <v>평일</v>
      </c>
      <c r="I224" s="125" t="str">
        <f t="shared" si="17"/>
        <v>2027-02</v>
      </c>
      <c r="J224" s="93" t="str">
        <f t="shared" si="14"/>
        <v>구민아</v>
      </c>
      <c r="K224" s="93" t="str">
        <f t="shared" si="15"/>
        <v>오기희</v>
      </c>
      <c r="L224" s="16" t="str">
        <f t="shared" si="16"/>
        <v>목</v>
      </c>
      <c r="M224" s="17" t="str">
        <f>IFERROR(VLOOKUP(B224,공휴일!B:C,2,0),"")</f>
        <v/>
      </c>
    </row>
    <row r="225" spans="2:13" x14ac:dyDescent="0.3">
      <c r="B225" s="142">
        <v>46444</v>
      </c>
      <c r="C225" s="143" t="s">
        <v>14</v>
      </c>
      <c r="D225" s="144"/>
      <c r="E225" s="143" t="s">
        <v>18</v>
      </c>
      <c r="F225" s="144"/>
      <c r="G225" s="147"/>
      <c r="H225" s="148" t="str">
        <f>IF(WORKDAY(B225-1,1,공휴일!$B$4:$B$24)=B225,IF(WORKDAY(B225,1,공휴일!$B$4:$B$24)&lt;&gt;B225+1,"금요일","평일"),IF(WORKDAY(B225,1,공휴일!$B$4:$B$24)&lt;&gt;B225+1,"토요일","일요일"))</f>
        <v>금요일</v>
      </c>
      <c r="I225" s="125" t="str">
        <f t="shared" si="17"/>
        <v>2027-02</v>
      </c>
      <c r="J225" s="93" t="str">
        <f t="shared" si="14"/>
        <v>고석규</v>
      </c>
      <c r="K225" s="93" t="str">
        <f t="shared" si="15"/>
        <v>이승현</v>
      </c>
      <c r="L225" s="16" t="str">
        <f t="shared" si="16"/>
        <v>금</v>
      </c>
      <c r="M225" s="17" t="str">
        <f>IFERROR(VLOOKUP(B225,공휴일!B:C,2,0),"")</f>
        <v/>
      </c>
    </row>
    <row r="226" spans="2:13" x14ac:dyDescent="0.3">
      <c r="B226" s="142">
        <v>46445</v>
      </c>
      <c r="C226" s="143" t="s">
        <v>12</v>
      </c>
      <c r="D226" s="144"/>
      <c r="E226" s="143" t="s">
        <v>10</v>
      </c>
      <c r="F226" s="144"/>
      <c r="G226" s="147"/>
      <c r="H226" s="148" t="str">
        <f>IF(WORKDAY(B226-1,1,공휴일!$B$4:$B$24)=B226,IF(WORKDAY(B226,1,공휴일!$B$4:$B$24)&lt;&gt;B226+1,"금요일","평일"),IF(WORKDAY(B226,1,공휴일!$B$4:$B$24)&lt;&gt;B226+1,"토요일","일요일"))</f>
        <v>토요일</v>
      </c>
      <c r="I226" s="125" t="str">
        <f t="shared" si="17"/>
        <v>2027-02</v>
      </c>
      <c r="J226" s="93" t="str">
        <f t="shared" si="14"/>
        <v>한문영</v>
      </c>
      <c r="K226" s="93" t="str">
        <f t="shared" si="15"/>
        <v>유진수</v>
      </c>
      <c r="L226" s="16" t="str">
        <f t="shared" si="16"/>
        <v>토</v>
      </c>
      <c r="M226" s="17" t="str">
        <f>IFERROR(VLOOKUP(B226,공휴일!B:C,2,0),"")</f>
        <v/>
      </c>
    </row>
    <row r="227" spans="2:13" x14ac:dyDescent="0.3">
      <c r="B227" s="142">
        <v>46446</v>
      </c>
      <c r="C227" s="143" t="s">
        <v>16</v>
      </c>
      <c r="D227" s="144"/>
      <c r="E227" s="143" t="s">
        <v>20</v>
      </c>
      <c r="F227" s="144"/>
      <c r="G227" s="147"/>
      <c r="H227" s="148" t="str">
        <f>IF(WORKDAY(B227-1,1,공휴일!$B$4:$B$24)=B227,IF(WORKDAY(B227,1,공휴일!$B$4:$B$24)&lt;&gt;B227+1,"금요일","평일"),IF(WORKDAY(B227,1,공휴일!$B$4:$B$24)&lt;&gt;B227+1,"토요일","일요일"))</f>
        <v>일요일</v>
      </c>
      <c r="I227" s="125" t="str">
        <f t="shared" si="17"/>
        <v>2027-02</v>
      </c>
      <c r="J227" s="93" t="str">
        <f t="shared" si="14"/>
        <v>이현숙</v>
      </c>
      <c r="K227" s="93" t="str">
        <f t="shared" si="15"/>
        <v>이원철</v>
      </c>
      <c r="L227" s="16" t="str">
        <f t="shared" si="16"/>
        <v>일</v>
      </c>
      <c r="M227" s="17" t="str">
        <f>IFERROR(VLOOKUP(B227,공휴일!B:C,2,0),"")</f>
        <v/>
      </c>
    </row>
    <row r="228" spans="2:13" x14ac:dyDescent="0.3">
      <c r="B228" s="142">
        <v>46447</v>
      </c>
      <c r="C228" s="143" t="s">
        <v>13</v>
      </c>
      <c r="D228" s="144"/>
      <c r="E228" s="143" t="s">
        <v>21</v>
      </c>
      <c r="F228" s="144"/>
      <c r="G228" s="147"/>
      <c r="H228" s="148" t="str">
        <f>IF(WORKDAY(B228-1,1,공휴일!$B$4:$B$24)=B228,IF(WORKDAY(B228,1,공휴일!$B$4:$B$24)&lt;&gt;B228+1,"금요일","평일"),IF(WORKDAY(B228,1,공휴일!$B$4:$B$24)&lt;&gt;B228+1,"토요일","일요일"))</f>
        <v>평일</v>
      </c>
      <c r="I228" s="125" t="str">
        <f t="shared" si="17"/>
        <v>2027-03</v>
      </c>
      <c r="J228" s="93" t="str">
        <f t="shared" si="14"/>
        <v>안지영</v>
      </c>
      <c r="K228" s="93" t="str">
        <f t="shared" si="15"/>
        <v>정찬웅</v>
      </c>
      <c r="L228" s="16" t="str">
        <f t="shared" si="16"/>
        <v>월</v>
      </c>
      <c r="M228" s="17" t="str">
        <f>IFERROR(VLOOKUP(B228,공휴일!B:C,2,0),"")</f>
        <v>삼일절</v>
      </c>
    </row>
    <row r="229" spans="2:13" x14ac:dyDescent="0.3">
      <c r="B229" s="142">
        <v>46448</v>
      </c>
      <c r="C229" s="143" t="s">
        <v>41</v>
      </c>
      <c r="D229" s="144"/>
      <c r="E229" s="143" t="s">
        <v>22</v>
      </c>
      <c r="F229" s="144"/>
      <c r="G229" s="147"/>
      <c r="H229" s="148" t="str">
        <f>IF(WORKDAY(B229-1,1,공휴일!$B$4:$B$24)=B229,IF(WORKDAY(B229,1,공휴일!$B$4:$B$24)&lt;&gt;B229+1,"금요일","평일"),IF(WORKDAY(B229,1,공휴일!$B$4:$B$24)&lt;&gt;B229+1,"토요일","일요일"))</f>
        <v>평일</v>
      </c>
      <c r="I229" s="125" t="str">
        <f t="shared" si="17"/>
        <v>2027-03</v>
      </c>
      <c r="J229" s="93" t="str">
        <f t="shared" si="14"/>
        <v>송남철</v>
      </c>
      <c r="K229" s="93" t="str">
        <f t="shared" si="15"/>
        <v>서진호</v>
      </c>
      <c r="L229" s="16" t="str">
        <f t="shared" si="16"/>
        <v>화</v>
      </c>
      <c r="M229" s="17" t="str">
        <f>IFERROR(VLOOKUP(B229,공휴일!B:C,2,0),"")</f>
        <v/>
      </c>
    </row>
    <row r="230" spans="2:13" x14ac:dyDescent="0.3">
      <c r="B230" s="142">
        <v>46449</v>
      </c>
      <c r="C230" s="143" t="s">
        <v>17</v>
      </c>
      <c r="D230" s="144"/>
      <c r="E230" s="143" t="s">
        <v>11</v>
      </c>
      <c r="F230" s="144"/>
      <c r="G230" s="147"/>
      <c r="H230" s="148" t="str">
        <f>IF(WORKDAY(B230-1,1,공휴일!$B$4:$B$24)=B230,IF(WORKDAY(B230,1,공휴일!$B$4:$B$24)&lt;&gt;B230+1,"금요일","평일"),IF(WORKDAY(B230,1,공휴일!$B$4:$B$24)&lt;&gt;B230+1,"토요일","일요일"))</f>
        <v>평일</v>
      </c>
      <c r="I230" s="125" t="str">
        <f t="shared" si="17"/>
        <v>2027-03</v>
      </c>
      <c r="J230" s="93" t="str">
        <f t="shared" si="14"/>
        <v>신혜원</v>
      </c>
      <c r="K230" s="93" t="str">
        <f t="shared" si="15"/>
        <v>장민우</v>
      </c>
      <c r="L230" s="16" t="str">
        <f t="shared" si="16"/>
        <v>수</v>
      </c>
      <c r="M230" s="17" t="str">
        <f>IFERROR(VLOOKUP(B230,공휴일!B:C,2,0),"")</f>
        <v/>
      </c>
    </row>
    <row r="231" spans="2:13" x14ac:dyDescent="0.3">
      <c r="B231" s="142">
        <v>46450</v>
      </c>
      <c r="C231" s="143" t="s">
        <v>40</v>
      </c>
      <c r="D231" s="144"/>
      <c r="E231" s="143" t="s">
        <v>19</v>
      </c>
      <c r="F231" s="144"/>
      <c r="G231" s="147"/>
      <c r="H231" s="148" t="str">
        <f>IF(WORKDAY(B231-1,1,공휴일!$B$4:$B$24)=B231,IF(WORKDAY(B231,1,공휴일!$B$4:$B$24)&lt;&gt;B231+1,"금요일","평일"),IF(WORKDAY(B231,1,공휴일!$B$4:$B$24)&lt;&gt;B231+1,"토요일","일요일"))</f>
        <v>평일</v>
      </c>
      <c r="I231" s="125" t="str">
        <f t="shared" si="17"/>
        <v>2027-03</v>
      </c>
      <c r="J231" s="93" t="str">
        <f t="shared" si="14"/>
        <v>여철호</v>
      </c>
      <c r="K231" s="93" t="str">
        <f t="shared" si="15"/>
        <v>우정수</v>
      </c>
      <c r="L231" s="16" t="str">
        <f t="shared" si="16"/>
        <v>목</v>
      </c>
      <c r="M231" s="17" t="str">
        <f>IFERROR(VLOOKUP(B231,공휴일!B:C,2,0),"")</f>
        <v/>
      </c>
    </row>
    <row r="232" spans="2:13" x14ac:dyDescent="0.3">
      <c r="B232" s="142">
        <v>46451</v>
      </c>
      <c r="C232" s="143" t="s">
        <v>15</v>
      </c>
      <c r="D232" s="144"/>
      <c r="E232" s="143" t="s">
        <v>44</v>
      </c>
      <c r="F232" s="144"/>
      <c r="G232" s="147"/>
      <c r="H232" s="148" t="str">
        <f>IF(WORKDAY(B232-1,1,공휴일!$B$4:$B$24)=B232,IF(WORKDAY(B232,1,공휴일!$B$4:$B$24)&lt;&gt;B232+1,"금요일","평일"),IF(WORKDAY(B232,1,공휴일!$B$4:$B$24)&lt;&gt;B232+1,"토요일","일요일"))</f>
        <v>금요일</v>
      </c>
      <c r="I232" s="125" t="str">
        <f t="shared" si="17"/>
        <v>2027-03</v>
      </c>
      <c r="J232" s="93" t="str">
        <f t="shared" si="14"/>
        <v>구민아</v>
      </c>
      <c r="K232" s="93" t="str">
        <f t="shared" si="15"/>
        <v>오기희</v>
      </c>
      <c r="L232" s="16" t="str">
        <f t="shared" si="16"/>
        <v>금</v>
      </c>
      <c r="M232" s="17" t="str">
        <f>IFERROR(VLOOKUP(B232,공휴일!B:C,2,0),"")</f>
        <v/>
      </c>
    </row>
    <row r="233" spans="2:13" x14ac:dyDescent="0.3">
      <c r="B233" s="142">
        <v>46452</v>
      </c>
      <c r="C233" s="143" t="s">
        <v>14</v>
      </c>
      <c r="D233" s="144"/>
      <c r="E233" s="143" t="s">
        <v>18</v>
      </c>
      <c r="F233" s="144"/>
      <c r="G233" s="147"/>
      <c r="H233" s="148" t="str">
        <f>IF(WORKDAY(B233-1,1,공휴일!$B$4:$B$24)=B233,IF(WORKDAY(B233,1,공휴일!$B$4:$B$24)&lt;&gt;B233+1,"금요일","평일"),IF(WORKDAY(B233,1,공휴일!$B$4:$B$24)&lt;&gt;B233+1,"토요일","일요일"))</f>
        <v>토요일</v>
      </c>
      <c r="I233" s="125" t="str">
        <f t="shared" si="17"/>
        <v>2027-03</v>
      </c>
      <c r="J233" s="93" t="str">
        <f t="shared" ref="J233:J296" si="18">IF(D233="",C233,D233)</f>
        <v>고석규</v>
      </c>
      <c r="K233" s="93" t="str">
        <f t="shared" ref="K233:K296" si="19">IF(F233="",E233,F233)</f>
        <v>이승현</v>
      </c>
      <c r="L233" s="16" t="str">
        <f t="shared" ref="L233:L296" si="20">TEXT(B233,"aaa")</f>
        <v>토</v>
      </c>
      <c r="M233" s="17" t="str">
        <f>IFERROR(VLOOKUP(B233,공휴일!B:C,2,0),"")</f>
        <v/>
      </c>
    </row>
    <row r="234" spans="2:13" x14ac:dyDescent="0.3">
      <c r="B234" s="142">
        <v>46453</v>
      </c>
      <c r="C234" s="143" t="s">
        <v>12</v>
      </c>
      <c r="D234" s="144"/>
      <c r="E234" s="143" t="s">
        <v>10</v>
      </c>
      <c r="F234" s="144"/>
      <c r="G234" s="147"/>
      <c r="H234" s="148" t="str">
        <f>IF(WORKDAY(B234-1,1,공휴일!$B$4:$B$24)=B234,IF(WORKDAY(B234,1,공휴일!$B$4:$B$24)&lt;&gt;B234+1,"금요일","평일"),IF(WORKDAY(B234,1,공휴일!$B$4:$B$24)&lt;&gt;B234+1,"토요일","일요일"))</f>
        <v>일요일</v>
      </c>
      <c r="I234" s="125" t="str">
        <f t="shared" si="17"/>
        <v>2027-03</v>
      </c>
      <c r="J234" s="93" t="str">
        <f t="shared" si="18"/>
        <v>한문영</v>
      </c>
      <c r="K234" s="93" t="str">
        <f t="shared" si="19"/>
        <v>유진수</v>
      </c>
      <c r="L234" s="16" t="str">
        <f t="shared" si="20"/>
        <v>일</v>
      </c>
      <c r="M234" s="17" t="str">
        <f>IFERROR(VLOOKUP(B234,공휴일!B:C,2,0),"")</f>
        <v/>
      </c>
    </row>
    <row r="235" spans="2:13" x14ac:dyDescent="0.3">
      <c r="B235" s="142">
        <v>46454</v>
      </c>
      <c r="C235" s="143" t="s">
        <v>16</v>
      </c>
      <c r="D235" s="144"/>
      <c r="E235" s="143" t="s">
        <v>20</v>
      </c>
      <c r="F235" s="144"/>
      <c r="G235" s="147"/>
      <c r="H235" s="148" t="str">
        <f>IF(WORKDAY(B235-1,1,공휴일!$B$4:$B$24)=B235,IF(WORKDAY(B235,1,공휴일!$B$4:$B$24)&lt;&gt;B235+1,"금요일","평일"),IF(WORKDAY(B235,1,공휴일!$B$4:$B$24)&lt;&gt;B235+1,"토요일","일요일"))</f>
        <v>평일</v>
      </c>
      <c r="I235" s="125" t="str">
        <f t="shared" si="17"/>
        <v>2027-03</v>
      </c>
      <c r="J235" s="93" t="str">
        <f t="shared" si="18"/>
        <v>이현숙</v>
      </c>
      <c r="K235" s="93" t="str">
        <f t="shared" si="19"/>
        <v>이원철</v>
      </c>
      <c r="L235" s="16" t="str">
        <f t="shared" si="20"/>
        <v>월</v>
      </c>
      <c r="M235" s="17" t="str">
        <f>IFERROR(VLOOKUP(B235,공휴일!B:C,2,0),"")</f>
        <v/>
      </c>
    </row>
    <row r="236" spans="2:13" x14ac:dyDescent="0.3">
      <c r="B236" s="142">
        <v>46455</v>
      </c>
      <c r="C236" s="143" t="s">
        <v>13</v>
      </c>
      <c r="D236" s="144"/>
      <c r="E236" s="143" t="s">
        <v>21</v>
      </c>
      <c r="F236" s="144"/>
      <c r="G236" s="147"/>
      <c r="H236" s="148" t="str">
        <f>IF(WORKDAY(B236-1,1,공휴일!$B$4:$B$24)=B236,IF(WORKDAY(B236,1,공휴일!$B$4:$B$24)&lt;&gt;B236+1,"금요일","평일"),IF(WORKDAY(B236,1,공휴일!$B$4:$B$24)&lt;&gt;B236+1,"토요일","일요일"))</f>
        <v>평일</v>
      </c>
      <c r="I236" s="125" t="str">
        <f t="shared" si="17"/>
        <v>2027-03</v>
      </c>
      <c r="J236" s="93" t="str">
        <f t="shared" si="18"/>
        <v>안지영</v>
      </c>
      <c r="K236" s="93" t="str">
        <f t="shared" si="19"/>
        <v>정찬웅</v>
      </c>
      <c r="L236" s="16" t="str">
        <f t="shared" si="20"/>
        <v>화</v>
      </c>
      <c r="M236" s="17" t="str">
        <f>IFERROR(VLOOKUP(B236,공휴일!B:C,2,0),"")</f>
        <v/>
      </c>
    </row>
    <row r="237" spans="2:13" x14ac:dyDescent="0.3">
      <c r="B237" s="142">
        <v>46456</v>
      </c>
      <c r="C237" s="143" t="s">
        <v>41</v>
      </c>
      <c r="D237" s="144"/>
      <c r="E237" s="143" t="s">
        <v>22</v>
      </c>
      <c r="F237" s="144"/>
      <c r="G237" s="147"/>
      <c r="H237" s="148" t="str">
        <f>IF(WORKDAY(B237-1,1,공휴일!$B$4:$B$24)=B237,IF(WORKDAY(B237,1,공휴일!$B$4:$B$24)&lt;&gt;B237+1,"금요일","평일"),IF(WORKDAY(B237,1,공휴일!$B$4:$B$24)&lt;&gt;B237+1,"토요일","일요일"))</f>
        <v>평일</v>
      </c>
      <c r="I237" s="125" t="str">
        <f t="shared" si="17"/>
        <v>2027-03</v>
      </c>
      <c r="J237" s="93" t="str">
        <f t="shared" si="18"/>
        <v>송남철</v>
      </c>
      <c r="K237" s="93" t="str">
        <f t="shared" si="19"/>
        <v>서진호</v>
      </c>
      <c r="L237" s="16" t="str">
        <f t="shared" si="20"/>
        <v>수</v>
      </c>
      <c r="M237" s="17" t="str">
        <f>IFERROR(VLOOKUP(B237,공휴일!B:C,2,0),"")</f>
        <v/>
      </c>
    </row>
    <row r="238" spans="2:13" x14ac:dyDescent="0.3">
      <c r="B238" s="142">
        <v>46457</v>
      </c>
      <c r="C238" s="143" t="s">
        <v>17</v>
      </c>
      <c r="D238" s="144"/>
      <c r="E238" s="143" t="s">
        <v>11</v>
      </c>
      <c r="F238" s="144"/>
      <c r="G238" s="147"/>
      <c r="H238" s="148" t="str">
        <f>IF(WORKDAY(B238-1,1,공휴일!$B$4:$B$24)=B238,IF(WORKDAY(B238,1,공휴일!$B$4:$B$24)&lt;&gt;B238+1,"금요일","평일"),IF(WORKDAY(B238,1,공휴일!$B$4:$B$24)&lt;&gt;B238+1,"토요일","일요일"))</f>
        <v>평일</v>
      </c>
      <c r="I238" s="125" t="str">
        <f t="shared" si="17"/>
        <v>2027-03</v>
      </c>
      <c r="J238" s="93" t="str">
        <f t="shared" si="18"/>
        <v>신혜원</v>
      </c>
      <c r="K238" s="93" t="str">
        <f t="shared" si="19"/>
        <v>장민우</v>
      </c>
      <c r="L238" s="16" t="str">
        <f t="shared" si="20"/>
        <v>목</v>
      </c>
      <c r="M238" s="17" t="str">
        <f>IFERROR(VLOOKUP(B238,공휴일!B:C,2,0),"")</f>
        <v/>
      </c>
    </row>
    <row r="239" spans="2:13" x14ac:dyDescent="0.3">
      <c r="B239" s="142">
        <v>46458</v>
      </c>
      <c r="C239" s="143" t="s">
        <v>40</v>
      </c>
      <c r="D239" s="144"/>
      <c r="E239" s="143" t="s">
        <v>19</v>
      </c>
      <c r="F239" s="144"/>
      <c r="G239" s="147"/>
      <c r="H239" s="148" t="str">
        <f>IF(WORKDAY(B239-1,1,공휴일!$B$4:$B$24)=B239,IF(WORKDAY(B239,1,공휴일!$B$4:$B$24)&lt;&gt;B239+1,"금요일","평일"),IF(WORKDAY(B239,1,공휴일!$B$4:$B$24)&lt;&gt;B239+1,"토요일","일요일"))</f>
        <v>금요일</v>
      </c>
      <c r="I239" s="125" t="str">
        <f t="shared" si="17"/>
        <v>2027-03</v>
      </c>
      <c r="J239" s="93" t="str">
        <f t="shared" si="18"/>
        <v>여철호</v>
      </c>
      <c r="K239" s="93" t="str">
        <f t="shared" si="19"/>
        <v>우정수</v>
      </c>
      <c r="L239" s="16" t="str">
        <f t="shared" si="20"/>
        <v>금</v>
      </c>
      <c r="M239" s="17" t="str">
        <f>IFERROR(VLOOKUP(B239,공휴일!B:C,2,0),"")</f>
        <v/>
      </c>
    </row>
    <row r="240" spans="2:13" x14ac:dyDescent="0.3">
      <c r="B240" s="142">
        <v>46459</v>
      </c>
      <c r="C240" s="143" t="s">
        <v>15</v>
      </c>
      <c r="D240" s="144"/>
      <c r="E240" s="143" t="s">
        <v>44</v>
      </c>
      <c r="F240" s="144"/>
      <c r="G240" s="147"/>
      <c r="H240" s="148" t="str">
        <f>IF(WORKDAY(B240-1,1,공휴일!$B$4:$B$24)=B240,IF(WORKDAY(B240,1,공휴일!$B$4:$B$24)&lt;&gt;B240+1,"금요일","평일"),IF(WORKDAY(B240,1,공휴일!$B$4:$B$24)&lt;&gt;B240+1,"토요일","일요일"))</f>
        <v>토요일</v>
      </c>
      <c r="I240" s="125" t="str">
        <f t="shared" si="17"/>
        <v>2027-03</v>
      </c>
      <c r="J240" s="93" t="str">
        <f t="shared" si="18"/>
        <v>구민아</v>
      </c>
      <c r="K240" s="93" t="str">
        <f t="shared" si="19"/>
        <v>오기희</v>
      </c>
      <c r="L240" s="16" t="str">
        <f t="shared" si="20"/>
        <v>토</v>
      </c>
      <c r="M240" s="17" t="str">
        <f>IFERROR(VLOOKUP(B240,공휴일!B:C,2,0),"")</f>
        <v/>
      </c>
    </row>
    <row r="241" spans="2:13" x14ac:dyDescent="0.3">
      <c r="B241" s="142">
        <v>46460</v>
      </c>
      <c r="C241" s="143" t="s">
        <v>14</v>
      </c>
      <c r="D241" s="144"/>
      <c r="E241" s="143" t="s">
        <v>18</v>
      </c>
      <c r="F241" s="144"/>
      <c r="G241" s="147"/>
      <c r="H241" s="148" t="str">
        <f>IF(WORKDAY(B241-1,1,공휴일!$B$4:$B$24)=B241,IF(WORKDAY(B241,1,공휴일!$B$4:$B$24)&lt;&gt;B241+1,"금요일","평일"),IF(WORKDAY(B241,1,공휴일!$B$4:$B$24)&lt;&gt;B241+1,"토요일","일요일"))</f>
        <v>일요일</v>
      </c>
      <c r="I241" s="125" t="str">
        <f t="shared" si="17"/>
        <v>2027-03</v>
      </c>
      <c r="J241" s="93" t="str">
        <f t="shared" si="18"/>
        <v>고석규</v>
      </c>
      <c r="K241" s="93" t="str">
        <f t="shared" si="19"/>
        <v>이승현</v>
      </c>
      <c r="L241" s="16" t="str">
        <f t="shared" si="20"/>
        <v>일</v>
      </c>
      <c r="M241" s="17" t="str">
        <f>IFERROR(VLOOKUP(B241,공휴일!B:C,2,0),"")</f>
        <v/>
      </c>
    </row>
    <row r="242" spans="2:13" x14ac:dyDescent="0.3">
      <c r="B242" s="142">
        <v>46461</v>
      </c>
      <c r="C242" s="143" t="s">
        <v>12</v>
      </c>
      <c r="D242" s="144"/>
      <c r="E242" s="143" t="s">
        <v>10</v>
      </c>
      <c r="F242" s="144"/>
      <c r="G242" s="147"/>
      <c r="H242" s="148" t="str">
        <f>IF(WORKDAY(B242-1,1,공휴일!$B$4:$B$24)=B242,IF(WORKDAY(B242,1,공휴일!$B$4:$B$24)&lt;&gt;B242+1,"금요일","평일"),IF(WORKDAY(B242,1,공휴일!$B$4:$B$24)&lt;&gt;B242+1,"토요일","일요일"))</f>
        <v>평일</v>
      </c>
      <c r="I242" s="125" t="str">
        <f t="shared" si="17"/>
        <v>2027-03</v>
      </c>
      <c r="J242" s="93" t="str">
        <f t="shared" si="18"/>
        <v>한문영</v>
      </c>
      <c r="K242" s="93" t="str">
        <f t="shared" si="19"/>
        <v>유진수</v>
      </c>
      <c r="L242" s="16" t="str">
        <f t="shared" si="20"/>
        <v>월</v>
      </c>
      <c r="M242" s="17" t="str">
        <f>IFERROR(VLOOKUP(B242,공휴일!B:C,2,0),"")</f>
        <v/>
      </c>
    </row>
    <row r="243" spans="2:13" x14ac:dyDescent="0.3">
      <c r="B243" s="142">
        <v>46462</v>
      </c>
      <c r="C243" s="143" t="s">
        <v>16</v>
      </c>
      <c r="D243" s="144"/>
      <c r="E243" s="143" t="s">
        <v>20</v>
      </c>
      <c r="F243" s="144"/>
      <c r="G243" s="147"/>
      <c r="H243" s="148" t="str">
        <f>IF(WORKDAY(B243-1,1,공휴일!$B$4:$B$24)=B243,IF(WORKDAY(B243,1,공휴일!$B$4:$B$24)&lt;&gt;B243+1,"금요일","평일"),IF(WORKDAY(B243,1,공휴일!$B$4:$B$24)&lt;&gt;B243+1,"토요일","일요일"))</f>
        <v>평일</v>
      </c>
      <c r="I243" s="125" t="str">
        <f t="shared" si="17"/>
        <v>2027-03</v>
      </c>
      <c r="J243" s="93" t="str">
        <f t="shared" si="18"/>
        <v>이현숙</v>
      </c>
      <c r="K243" s="93" t="str">
        <f t="shared" si="19"/>
        <v>이원철</v>
      </c>
      <c r="L243" s="16" t="str">
        <f t="shared" si="20"/>
        <v>화</v>
      </c>
      <c r="M243" s="17" t="str">
        <f>IFERROR(VLOOKUP(B243,공휴일!B:C,2,0),"")</f>
        <v/>
      </c>
    </row>
    <row r="244" spans="2:13" x14ac:dyDescent="0.3">
      <c r="B244" s="142">
        <v>46463</v>
      </c>
      <c r="C244" s="143" t="s">
        <v>13</v>
      </c>
      <c r="D244" s="144"/>
      <c r="E244" s="143" t="s">
        <v>21</v>
      </c>
      <c r="F244" s="144"/>
      <c r="G244" s="147"/>
      <c r="H244" s="148" t="str">
        <f>IF(WORKDAY(B244-1,1,공휴일!$B$4:$B$24)=B244,IF(WORKDAY(B244,1,공휴일!$B$4:$B$24)&lt;&gt;B244+1,"금요일","평일"),IF(WORKDAY(B244,1,공휴일!$B$4:$B$24)&lt;&gt;B244+1,"토요일","일요일"))</f>
        <v>평일</v>
      </c>
      <c r="I244" s="125" t="str">
        <f t="shared" si="17"/>
        <v>2027-03</v>
      </c>
      <c r="J244" s="93" t="str">
        <f t="shared" si="18"/>
        <v>안지영</v>
      </c>
      <c r="K244" s="93" t="str">
        <f t="shared" si="19"/>
        <v>정찬웅</v>
      </c>
      <c r="L244" s="16" t="str">
        <f t="shared" si="20"/>
        <v>수</v>
      </c>
      <c r="M244" s="17" t="str">
        <f>IFERROR(VLOOKUP(B244,공휴일!B:C,2,0),"")</f>
        <v/>
      </c>
    </row>
    <row r="245" spans="2:13" x14ac:dyDescent="0.3">
      <c r="B245" s="142">
        <v>46464</v>
      </c>
      <c r="C245" s="143" t="s">
        <v>41</v>
      </c>
      <c r="D245" s="144"/>
      <c r="E245" s="143" t="s">
        <v>22</v>
      </c>
      <c r="F245" s="144"/>
      <c r="G245" s="147"/>
      <c r="H245" s="148" t="str">
        <f>IF(WORKDAY(B245-1,1,공휴일!$B$4:$B$24)=B245,IF(WORKDAY(B245,1,공휴일!$B$4:$B$24)&lt;&gt;B245+1,"금요일","평일"),IF(WORKDAY(B245,1,공휴일!$B$4:$B$24)&lt;&gt;B245+1,"토요일","일요일"))</f>
        <v>평일</v>
      </c>
      <c r="I245" s="125" t="str">
        <f t="shared" si="17"/>
        <v>2027-03</v>
      </c>
      <c r="J245" s="93" t="str">
        <f t="shared" si="18"/>
        <v>송남철</v>
      </c>
      <c r="K245" s="93" t="str">
        <f t="shared" si="19"/>
        <v>서진호</v>
      </c>
      <c r="L245" s="16" t="str">
        <f t="shared" si="20"/>
        <v>목</v>
      </c>
      <c r="M245" s="17" t="str">
        <f>IFERROR(VLOOKUP(B245,공휴일!B:C,2,0),"")</f>
        <v/>
      </c>
    </row>
    <row r="246" spans="2:13" x14ac:dyDescent="0.3">
      <c r="B246" s="142">
        <v>46465</v>
      </c>
      <c r="C246" s="143" t="s">
        <v>17</v>
      </c>
      <c r="D246" s="144"/>
      <c r="E246" s="143" t="s">
        <v>11</v>
      </c>
      <c r="F246" s="144"/>
      <c r="G246" s="147"/>
      <c r="H246" s="148" t="str">
        <f>IF(WORKDAY(B246-1,1,공휴일!$B$4:$B$24)=B246,IF(WORKDAY(B246,1,공휴일!$B$4:$B$24)&lt;&gt;B246+1,"금요일","평일"),IF(WORKDAY(B246,1,공휴일!$B$4:$B$24)&lt;&gt;B246+1,"토요일","일요일"))</f>
        <v>금요일</v>
      </c>
      <c r="I246" s="125" t="str">
        <f t="shared" si="17"/>
        <v>2027-03</v>
      </c>
      <c r="J246" s="93" t="str">
        <f t="shared" si="18"/>
        <v>신혜원</v>
      </c>
      <c r="K246" s="93" t="str">
        <f t="shared" si="19"/>
        <v>장민우</v>
      </c>
      <c r="L246" s="16" t="str">
        <f t="shared" si="20"/>
        <v>금</v>
      </c>
      <c r="M246" s="17" t="str">
        <f>IFERROR(VLOOKUP(B246,공휴일!B:C,2,0),"")</f>
        <v/>
      </c>
    </row>
    <row r="247" spans="2:13" x14ac:dyDescent="0.3">
      <c r="B247" s="142">
        <v>46466</v>
      </c>
      <c r="C247" s="143" t="s">
        <v>40</v>
      </c>
      <c r="D247" s="144"/>
      <c r="E247" s="143" t="s">
        <v>19</v>
      </c>
      <c r="F247" s="144"/>
      <c r="G247" s="147"/>
      <c r="H247" s="148" t="str">
        <f>IF(WORKDAY(B247-1,1,공휴일!$B$4:$B$24)=B247,IF(WORKDAY(B247,1,공휴일!$B$4:$B$24)&lt;&gt;B247+1,"금요일","평일"),IF(WORKDAY(B247,1,공휴일!$B$4:$B$24)&lt;&gt;B247+1,"토요일","일요일"))</f>
        <v>토요일</v>
      </c>
      <c r="I247" s="125" t="str">
        <f t="shared" si="17"/>
        <v>2027-03</v>
      </c>
      <c r="J247" s="93" t="str">
        <f t="shared" si="18"/>
        <v>여철호</v>
      </c>
      <c r="K247" s="93" t="str">
        <f t="shared" si="19"/>
        <v>우정수</v>
      </c>
      <c r="L247" s="16" t="str">
        <f t="shared" si="20"/>
        <v>토</v>
      </c>
      <c r="M247" s="17" t="str">
        <f>IFERROR(VLOOKUP(B247,공휴일!B:C,2,0),"")</f>
        <v/>
      </c>
    </row>
    <row r="248" spans="2:13" x14ac:dyDescent="0.3">
      <c r="B248" s="142">
        <v>46467</v>
      </c>
      <c r="C248" s="143" t="s">
        <v>15</v>
      </c>
      <c r="D248" s="144"/>
      <c r="E248" s="143" t="s">
        <v>44</v>
      </c>
      <c r="F248" s="144"/>
      <c r="G248" s="147"/>
      <c r="H248" s="148" t="str">
        <f>IF(WORKDAY(B248-1,1,공휴일!$B$4:$B$24)=B248,IF(WORKDAY(B248,1,공휴일!$B$4:$B$24)&lt;&gt;B248+1,"금요일","평일"),IF(WORKDAY(B248,1,공휴일!$B$4:$B$24)&lt;&gt;B248+1,"토요일","일요일"))</f>
        <v>일요일</v>
      </c>
      <c r="I248" s="125" t="str">
        <f t="shared" si="17"/>
        <v>2027-03</v>
      </c>
      <c r="J248" s="93" t="str">
        <f t="shared" si="18"/>
        <v>구민아</v>
      </c>
      <c r="K248" s="93" t="str">
        <f t="shared" si="19"/>
        <v>오기희</v>
      </c>
      <c r="L248" s="16" t="str">
        <f t="shared" si="20"/>
        <v>일</v>
      </c>
      <c r="M248" s="17" t="str">
        <f>IFERROR(VLOOKUP(B248,공휴일!B:C,2,0),"")</f>
        <v/>
      </c>
    </row>
    <row r="249" spans="2:13" x14ac:dyDescent="0.3">
      <c r="B249" s="142">
        <v>46468</v>
      </c>
      <c r="C249" s="143" t="s">
        <v>14</v>
      </c>
      <c r="D249" s="144"/>
      <c r="E249" s="143" t="s">
        <v>18</v>
      </c>
      <c r="F249" s="144"/>
      <c r="G249" s="147"/>
      <c r="H249" s="148" t="str">
        <f>IF(WORKDAY(B249-1,1,공휴일!$B$4:$B$24)=B249,IF(WORKDAY(B249,1,공휴일!$B$4:$B$24)&lt;&gt;B249+1,"금요일","평일"),IF(WORKDAY(B249,1,공휴일!$B$4:$B$24)&lt;&gt;B249+1,"토요일","일요일"))</f>
        <v>평일</v>
      </c>
      <c r="I249" s="125" t="str">
        <f t="shared" si="17"/>
        <v>2027-03</v>
      </c>
      <c r="J249" s="93" t="str">
        <f t="shared" si="18"/>
        <v>고석규</v>
      </c>
      <c r="K249" s="93" t="str">
        <f t="shared" si="19"/>
        <v>이승현</v>
      </c>
      <c r="L249" s="16" t="str">
        <f t="shared" si="20"/>
        <v>월</v>
      </c>
      <c r="M249" s="17" t="str">
        <f>IFERROR(VLOOKUP(B249,공휴일!B:C,2,0),"")</f>
        <v/>
      </c>
    </row>
    <row r="250" spans="2:13" x14ac:dyDescent="0.3">
      <c r="B250" s="142">
        <v>46469</v>
      </c>
      <c r="C250" s="143" t="s">
        <v>12</v>
      </c>
      <c r="D250" s="144"/>
      <c r="E250" s="143" t="s">
        <v>10</v>
      </c>
      <c r="F250" s="144"/>
      <c r="G250" s="147"/>
      <c r="H250" s="148" t="str">
        <f>IF(WORKDAY(B250-1,1,공휴일!$B$4:$B$24)=B250,IF(WORKDAY(B250,1,공휴일!$B$4:$B$24)&lt;&gt;B250+1,"금요일","평일"),IF(WORKDAY(B250,1,공휴일!$B$4:$B$24)&lt;&gt;B250+1,"토요일","일요일"))</f>
        <v>평일</v>
      </c>
      <c r="I250" s="125" t="str">
        <f t="shared" si="17"/>
        <v>2027-03</v>
      </c>
      <c r="J250" s="93" t="str">
        <f t="shared" si="18"/>
        <v>한문영</v>
      </c>
      <c r="K250" s="93" t="str">
        <f t="shared" si="19"/>
        <v>유진수</v>
      </c>
      <c r="L250" s="16" t="str">
        <f t="shared" si="20"/>
        <v>화</v>
      </c>
      <c r="M250" s="17" t="str">
        <f>IFERROR(VLOOKUP(B250,공휴일!B:C,2,0),"")</f>
        <v/>
      </c>
    </row>
    <row r="251" spans="2:13" x14ac:dyDescent="0.3">
      <c r="B251" s="142">
        <v>46470</v>
      </c>
      <c r="C251" s="143" t="s">
        <v>16</v>
      </c>
      <c r="D251" s="144"/>
      <c r="E251" s="143" t="s">
        <v>20</v>
      </c>
      <c r="F251" s="144"/>
      <c r="G251" s="147"/>
      <c r="H251" s="148" t="str">
        <f>IF(WORKDAY(B251-1,1,공휴일!$B$4:$B$24)=B251,IF(WORKDAY(B251,1,공휴일!$B$4:$B$24)&lt;&gt;B251+1,"금요일","평일"),IF(WORKDAY(B251,1,공휴일!$B$4:$B$24)&lt;&gt;B251+1,"토요일","일요일"))</f>
        <v>평일</v>
      </c>
      <c r="I251" s="125" t="str">
        <f t="shared" si="17"/>
        <v>2027-03</v>
      </c>
      <c r="J251" s="93" t="str">
        <f t="shared" si="18"/>
        <v>이현숙</v>
      </c>
      <c r="K251" s="93" t="str">
        <f t="shared" si="19"/>
        <v>이원철</v>
      </c>
      <c r="L251" s="16" t="str">
        <f t="shared" si="20"/>
        <v>수</v>
      </c>
      <c r="M251" s="17" t="str">
        <f>IFERROR(VLOOKUP(B251,공휴일!B:C,2,0),"")</f>
        <v/>
      </c>
    </row>
    <row r="252" spans="2:13" x14ac:dyDescent="0.3">
      <c r="B252" s="142">
        <v>46471</v>
      </c>
      <c r="C252" s="143" t="s">
        <v>13</v>
      </c>
      <c r="D252" s="144"/>
      <c r="E252" s="143" t="s">
        <v>21</v>
      </c>
      <c r="F252" s="144"/>
      <c r="G252" s="147"/>
      <c r="H252" s="148" t="str">
        <f>IF(WORKDAY(B252-1,1,공휴일!$B$4:$B$24)=B252,IF(WORKDAY(B252,1,공휴일!$B$4:$B$24)&lt;&gt;B252+1,"금요일","평일"),IF(WORKDAY(B252,1,공휴일!$B$4:$B$24)&lt;&gt;B252+1,"토요일","일요일"))</f>
        <v>평일</v>
      </c>
      <c r="I252" s="125" t="str">
        <f t="shared" si="17"/>
        <v>2027-03</v>
      </c>
      <c r="J252" s="93" t="str">
        <f t="shared" si="18"/>
        <v>안지영</v>
      </c>
      <c r="K252" s="93" t="str">
        <f t="shared" si="19"/>
        <v>정찬웅</v>
      </c>
      <c r="L252" s="16" t="str">
        <f t="shared" si="20"/>
        <v>목</v>
      </c>
      <c r="M252" s="17" t="str">
        <f>IFERROR(VLOOKUP(B252,공휴일!B:C,2,0),"")</f>
        <v/>
      </c>
    </row>
    <row r="253" spans="2:13" x14ac:dyDescent="0.3">
      <c r="B253" s="142">
        <v>46472</v>
      </c>
      <c r="C253" s="143" t="s">
        <v>41</v>
      </c>
      <c r="D253" s="144"/>
      <c r="E253" s="143" t="s">
        <v>22</v>
      </c>
      <c r="F253" s="144"/>
      <c r="G253" s="147"/>
      <c r="H253" s="148" t="str">
        <f>IF(WORKDAY(B253-1,1,공휴일!$B$4:$B$24)=B253,IF(WORKDAY(B253,1,공휴일!$B$4:$B$24)&lt;&gt;B253+1,"금요일","평일"),IF(WORKDAY(B253,1,공휴일!$B$4:$B$24)&lt;&gt;B253+1,"토요일","일요일"))</f>
        <v>금요일</v>
      </c>
      <c r="I253" s="125" t="str">
        <f t="shared" si="17"/>
        <v>2027-03</v>
      </c>
      <c r="J253" s="93" t="str">
        <f t="shared" si="18"/>
        <v>송남철</v>
      </c>
      <c r="K253" s="93" t="str">
        <f t="shared" si="19"/>
        <v>서진호</v>
      </c>
      <c r="L253" s="16" t="str">
        <f t="shared" si="20"/>
        <v>금</v>
      </c>
      <c r="M253" s="17" t="str">
        <f>IFERROR(VLOOKUP(B253,공휴일!B:C,2,0),"")</f>
        <v/>
      </c>
    </row>
    <row r="254" spans="2:13" x14ac:dyDescent="0.3">
      <c r="B254" s="142">
        <v>46473</v>
      </c>
      <c r="C254" s="143" t="s">
        <v>17</v>
      </c>
      <c r="D254" s="144"/>
      <c r="E254" s="143" t="s">
        <v>11</v>
      </c>
      <c r="F254" s="144"/>
      <c r="G254" s="147"/>
      <c r="H254" s="148" t="str">
        <f>IF(WORKDAY(B254-1,1,공휴일!$B$4:$B$24)=B254,IF(WORKDAY(B254,1,공휴일!$B$4:$B$24)&lt;&gt;B254+1,"금요일","평일"),IF(WORKDAY(B254,1,공휴일!$B$4:$B$24)&lt;&gt;B254+1,"토요일","일요일"))</f>
        <v>토요일</v>
      </c>
      <c r="I254" s="125" t="str">
        <f t="shared" si="17"/>
        <v>2027-03</v>
      </c>
      <c r="J254" s="93" t="str">
        <f t="shared" si="18"/>
        <v>신혜원</v>
      </c>
      <c r="K254" s="93" t="str">
        <f t="shared" si="19"/>
        <v>장민우</v>
      </c>
      <c r="L254" s="16" t="str">
        <f t="shared" si="20"/>
        <v>토</v>
      </c>
      <c r="M254" s="17" t="str">
        <f>IFERROR(VLOOKUP(B254,공휴일!B:C,2,0),"")</f>
        <v/>
      </c>
    </row>
    <row r="255" spans="2:13" x14ac:dyDescent="0.3">
      <c r="B255" s="142">
        <v>46474</v>
      </c>
      <c r="C255" s="143" t="s">
        <v>40</v>
      </c>
      <c r="D255" s="144"/>
      <c r="E255" s="143" t="s">
        <v>19</v>
      </c>
      <c r="F255" s="144"/>
      <c r="G255" s="147"/>
      <c r="H255" s="148" t="str">
        <f>IF(WORKDAY(B255-1,1,공휴일!$B$4:$B$24)=B255,IF(WORKDAY(B255,1,공휴일!$B$4:$B$24)&lt;&gt;B255+1,"금요일","평일"),IF(WORKDAY(B255,1,공휴일!$B$4:$B$24)&lt;&gt;B255+1,"토요일","일요일"))</f>
        <v>일요일</v>
      </c>
      <c r="I255" s="125" t="str">
        <f t="shared" si="17"/>
        <v>2027-03</v>
      </c>
      <c r="J255" s="93" t="str">
        <f t="shared" si="18"/>
        <v>여철호</v>
      </c>
      <c r="K255" s="93" t="str">
        <f t="shared" si="19"/>
        <v>우정수</v>
      </c>
      <c r="L255" s="16" t="str">
        <f t="shared" si="20"/>
        <v>일</v>
      </c>
      <c r="M255" s="17" t="str">
        <f>IFERROR(VLOOKUP(B255,공휴일!B:C,2,0),"")</f>
        <v/>
      </c>
    </row>
    <row r="256" spans="2:13" x14ac:dyDescent="0.3">
      <c r="B256" s="142">
        <v>46475</v>
      </c>
      <c r="C256" s="143" t="s">
        <v>15</v>
      </c>
      <c r="D256" s="144"/>
      <c r="E256" s="143" t="s">
        <v>44</v>
      </c>
      <c r="F256" s="144"/>
      <c r="G256" s="147"/>
      <c r="H256" s="148" t="str">
        <f>IF(WORKDAY(B256-1,1,공휴일!$B$4:$B$24)=B256,IF(WORKDAY(B256,1,공휴일!$B$4:$B$24)&lt;&gt;B256+1,"금요일","평일"),IF(WORKDAY(B256,1,공휴일!$B$4:$B$24)&lt;&gt;B256+1,"토요일","일요일"))</f>
        <v>평일</v>
      </c>
      <c r="I256" s="125" t="str">
        <f t="shared" si="17"/>
        <v>2027-03</v>
      </c>
      <c r="J256" s="93" t="str">
        <f t="shared" si="18"/>
        <v>구민아</v>
      </c>
      <c r="K256" s="93" t="str">
        <f t="shared" si="19"/>
        <v>오기희</v>
      </c>
      <c r="L256" s="16" t="str">
        <f t="shared" si="20"/>
        <v>월</v>
      </c>
      <c r="M256" s="17" t="str">
        <f>IFERROR(VLOOKUP(B256,공휴일!B:C,2,0),"")</f>
        <v/>
      </c>
    </row>
    <row r="257" spans="2:13" x14ac:dyDescent="0.3">
      <c r="B257" s="142">
        <v>46476</v>
      </c>
      <c r="C257" s="143" t="s">
        <v>14</v>
      </c>
      <c r="D257" s="144"/>
      <c r="E257" s="143" t="s">
        <v>18</v>
      </c>
      <c r="F257" s="144"/>
      <c r="G257" s="147"/>
      <c r="H257" s="148" t="str">
        <f>IF(WORKDAY(B257-1,1,공휴일!$B$4:$B$24)=B257,IF(WORKDAY(B257,1,공휴일!$B$4:$B$24)&lt;&gt;B257+1,"금요일","평일"),IF(WORKDAY(B257,1,공휴일!$B$4:$B$24)&lt;&gt;B257+1,"토요일","일요일"))</f>
        <v>평일</v>
      </c>
      <c r="I257" s="125" t="str">
        <f t="shared" si="17"/>
        <v>2027-03</v>
      </c>
      <c r="J257" s="93" t="str">
        <f t="shared" si="18"/>
        <v>고석규</v>
      </c>
      <c r="K257" s="93" t="str">
        <f t="shared" si="19"/>
        <v>이승현</v>
      </c>
      <c r="L257" s="16" t="str">
        <f t="shared" si="20"/>
        <v>화</v>
      </c>
      <c r="M257" s="17" t="str">
        <f>IFERROR(VLOOKUP(B257,공휴일!B:C,2,0),"")</f>
        <v/>
      </c>
    </row>
    <row r="258" spans="2:13" x14ac:dyDescent="0.3">
      <c r="B258" s="142">
        <v>46477</v>
      </c>
      <c r="C258" s="143" t="s">
        <v>12</v>
      </c>
      <c r="D258" s="144"/>
      <c r="E258" s="143" t="s">
        <v>10</v>
      </c>
      <c r="F258" s="144"/>
      <c r="G258" s="147"/>
      <c r="H258" s="148" t="str">
        <f>IF(WORKDAY(B258-1,1,공휴일!$B$4:$B$24)=B258,IF(WORKDAY(B258,1,공휴일!$B$4:$B$24)&lt;&gt;B258+1,"금요일","평일"),IF(WORKDAY(B258,1,공휴일!$B$4:$B$24)&lt;&gt;B258+1,"토요일","일요일"))</f>
        <v>평일</v>
      </c>
      <c r="I258" s="125" t="str">
        <f t="shared" si="17"/>
        <v>2027-03</v>
      </c>
      <c r="J258" s="93" t="str">
        <f t="shared" si="18"/>
        <v>한문영</v>
      </c>
      <c r="K258" s="93" t="str">
        <f t="shared" si="19"/>
        <v>유진수</v>
      </c>
      <c r="L258" s="16" t="str">
        <f t="shared" si="20"/>
        <v>수</v>
      </c>
      <c r="M258" s="17" t="str">
        <f>IFERROR(VLOOKUP(B258,공휴일!B:C,2,0),"")</f>
        <v/>
      </c>
    </row>
    <row r="259" spans="2:13" x14ac:dyDescent="0.3">
      <c r="B259" s="142">
        <v>46478</v>
      </c>
      <c r="C259" s="143" t="s">
        <v>16</v>
      </c>
      <c r="D259" s="144"/>
      <c r="E259" s="143" t="s">
        <v>20</v>
      </c>
      <c r="F259" s="144"/>
      <c r="G259" s="147"/>
      <c r="H259" s="148" t="str">
        <f>IF(WORKDAY(B259-1,1,공휴일!$B$4:$B$24)=B259,IF(WORKDAY(B259,1,공휴일!$B$4:$B$24)&lt;&gt;B259+1,"금요일","평일"),IF(WORKDAY(B259,1,공휴일!$B$4:$B$24)&lt;&gt;B259+1,"토요일","일요일"))</f>
        <v>평일</v>
      </c>
      <c r="I259" s="125" t="str">
        <f t="shared" si="17"/>
        <v>2027-04</v>
      </c>
      <c r="J259" s="93" t="str">
        <f t="shared" si="18"/>
        <v>이현숙</v>
      </c>
      <c r="K259" s="93" t="str">
        <f t="shared" si="19"/>
        <v>이원철</v>
      </c>
      <c r="L259" s="16" t="str">
        <f t="shared" si="20"/>
        <v>목</v>
      </c>
      <c r="M259" s="17" t="str">
        <f>IFERROR(VLOOKUP(B259,공휴일!B:C,2,0),"")</f>
        <v/>
      </c>
    </row>
    <row r="260" spans="2:13" x14ac:dyDescent="0.3">
      <c r="B260" s="142">
        <v>46479</v>
      </c>
      <c r="C260" s="143" t="s">
        <v>13</v>
      </c>
      <c r="D260" s="144"/>
      <c r="E260" s="143" t="s">
        <v>21</v>
      </c>
      <c r="F260" s="144"/>
      <c r="G260" s="147"/>
      <c r="H260" s="148" t="str">
        <f>IF(WORKDAY(B260-1,1,공휴일!$B$4:$B$24)=B260,IF(WORKDAY(B260,1,공휴일!$B$4:$B$24)&lt;&gt;B260+1,"금요일","평일"),IF(WORKDAY(B260,1,공휴일!$B$4:$B$24)&lt;&gt;B260+1,"토요일","일요일"))</f>
        <v>금요일</v>
      </c>
      <c r="I260" s="125" t="str">
        <f t="shared" si="17"/>
        <v>2027-04</v>
      </c>
      <c r="J260" s="93" t="str">
        <f t="shared" si="18"/>
        <v>안지영</v>
      </c>
      <c r="K260" s="93" t="str">
        <f t="shared" si="19"/>
        <v>정찬웅</v>
      </c>
      <c r="L260" s="16" t="str">
        <f t="shared" si="20"/>
        <v>금</v>
      </c>
      <c r="M260" s="17" t="str">
        <f>IFERROR(VLOOKUP(B260,공휴일!B:C,2,0),"")</f>
        <v/>
      </c>
    </row>
    <row r="261" spans="2:13" x14ac:dyDescent="0.3">
      <c r="B261" s="142">
        <v>46480</v>
      </c>
      <c r="C261" s="143" t="s">
        <v>41</v>
      </c>
      <c r="D261" s="144"/>
      <c r="E261" s="143" t="s">
        <v>22</v>
      </c>
      <c r="F261" s="144"/>
      <c r="G261" s="147"/>
      <c r="H261" s="148" t="str">
        <f>IF(WORKDAY(B261-1,1,공휴일!$B$4:$B$24)=B261,IF(WORKDAY(B261,1,공휴일!$B$4:$B$24)&lt;&gt;B261+1,"금요일","평일"),IF(WORKDAY(B261,1,공휴일!$B$4:$B$24)&lt;&gt;B261+1,"토요일","일요일"))</f>
        <v>토요일</v>
      </c>
      <c r="I261" s="125" t="str">
        <f t="shared" si="17"/>
        <v>2027-04</v>
      </c>
      <c r="J261" s="93" t="str">
        <f t="shared" si="18"/>
        <v>송남철</v>
      </c>
      <c r="K261" s="93" t="str">
        <f t="shared" si="19"/>
        <v>서진호</v>
      </c>
      <c r="L261" s="16" t="str">
        <f t="shared" si="20"/>
        <v>토</v>
      </c>
      <c r="M261" s="17" t="str">
        <f>IFERROR(VLOOKUP(B261,공휴일!B:C,2,0),"")</f>
        <v/>
      </c>
    </row>
    <row r="262" spans="2:13" x14ac:dyDescent="0.3">
      <c r="B262" s="142">
        <v>46481</v>
      </c>
      <c r="C262" s="143" t="s">
        <v>17</v>
      </c>
      <c r="D262" s="144"/>
      <c r="E262" s="143" t="s">
        <v>11</v>
      </c>
      <c r="F262" s="144"/>
      <c r="G262" s="147"/>
      <c r="H262" s="148" t="str">
        <f>IF(WORKDAY(B262-1,1,공휴일!$B$4:$B$24)=B262,IF(WORKDAY(B262,1,공휴일!$B$4:$B$24)&lt;&gt;B262+1,"금요일","평일"),IF(WORKDAY(B262,1,공휴일!$B$4:$B$24)&lt;&gt;B262+1,"토요일","일요일"))</f>
        <v>일요일</v>
      </c>
      <c r="I262" s="125" t="str">
        <f t="shared" ref="I262:I325" si="21">TEXT(B262,"yyyy-mm")</f>
        <v>2027-04</v>
      </c>
      <c r="J262" s="93" t="str">
        <f t="shared" si="18"/>
        <v>신혜원</v>
      </c>
      <c r="K262" s="93" t="str">
        <f t="shared" si="19"/>
        <v>장민우</v>
      </c>
      <c r="L262" s="16" t="str">
        <f t="shared" si="20"/>
        <v>일</v>
      </c>
      <c r="M262" s="17" t="str">
        <f>IFERROR(VLOOKUP(B262,공휴일!B:C,2,0),"")</f>
        <v/>
      </c>
    </row>
    <row r="263" spans="2:13" x14ac:dyDescent="0.3">
      <c r="B263" s="142">
        <v>46482</v>
      </c>
      <c r="C263" s="143" t="s">
        <v>40</v>
      </c>
      <c r="D263" s="144"/>
      <c r="E263" s="143" t="s">
        <v>19</v>
      </c>
      <c r="F263" s="144"/>
      <c r="G263" s="147"/>
      <c r="H263" s="148" t="str">
        <f>IF(WORKDAY(B263-1,1,공휴일!$B$4:$B$24)=B263,IF(WORKDAY(B263,1,공휴일!$B$4:$B$24)&lt;&gt;B263+1,"금요일","평일"),IF(WORKDAY(B263,1,공휴일!$B$4:$B$24)&lt;&gt;B263+1,"토요일","일요일"))</f>
        <v>평일</v>
      </c>
      <c r="I263" s="125" t="str">
        <f t="shared" si="21"/>
        <v>2027-04</v>
      </c>
      <c r="J263" s="93" t="str">
        <f t="shared" si="18"/>
        <v>여철호</v>
      </c>
      <c r="K263" s="93" t="str">
        <f t="shared" si="19"/>
        <v>우정수</v>
      </c>
      <c r="L263" s="16" t="str">
        <f t="shared" si="20"/>
        <v>월</v>
      </c>
      <c r="M263" s="17" t="str">
        <f>IFERROR(VLOOKUP(B263,공휴일!B:C,2,0),"")</f>
        <v/>
      </c>
    </row>
    <row r="264" spans="2:13" x14ac:dyDescent="0.3">
      <c r="B264" s="142">
        <v>46483</v>
      </c>
      <c r="C264" s="143" t="s">
        <v>15</v>
      </c>
      <c r="D264" s="144"/>
      <c r="E264" s="143" t="s">
        <v>44</v>
      </c>
      <c r="F264" s="144"/>
      <c r="G264" s="147"/>
      <c r="H264" s="148" t="str">
        <f>IF(WORKDAY(B264-1,1,공휴일!$B$4:$B$24)=B264,IF(WORKDAY(B264,1,공휴일!$B$4:$B$24)&lt;&gt;B264+1,"금요일","평일"),IF(WORKDAY(B264,1,공휴일!$B$4:$B$24)&lt;&gt;B264+1,"토요일","일요일"))</f>
        <v>평일</v>
      </c>
      <c r="I264" s="125" t="str">
        <f t="shared" si="21"/>
        <v>2027-04</v>
      </c>
      <c r="J264" s="93" t="str">
        <f t="shared" si="18"/>
        <v>구민아</v>
      </c>
      <c r="K264" s="93" t="str">
        <f t="shared" si="19"/>
        <v>오기희</v>
      </c>
      <c r="L264" s="16" t="str">
        <f t="shared" si="20"/>
        <v>화</v>
      </c>
      <c r="M264" s="17" t="str">
        <f>IFERROR(VLOOKUP(B264,공휴일!B:C,2,0),"")</f>
        <v/>
      </c>
    </row>
    <row r="265" spans="2:13" x14ac:dyDescent="0.3">
      <c r="B265" s="142">
        <v>46484</v>
      </c>
      <c r="C265" s="143" t="s">
        <v>14</v>
      </c>
      <c r="D265" s="144"/>
      <c r="E265" s="143" t="s">
        <v>18</v>
      </c>
      <c r="F265" s="144"/>
      <c r="G265" s="147"/>
      <c r="H265" s="148" t="str">
        <f>IF(WORKDAY(B265-1,1,공휴일!$B$4:$B$24)=B265,IF(WORKDAY(B265,1,공휴일!$B$4:$B$24)&lt;&gt;B265+1,"금요일","평일"),IF(WORKDAY(B265,1,공휴일!$B$4:$B$24)&lt;&gt;B265+1,"토요일","일요일"))</f>
        <v>평일</v>
      </c>
      <c r="I265" s="125" t="str">
        <f t="shared" si="21"/>
        <v>2027-04</v>
      </c>
      <c r="J265" s="93" t="str">
        <f t="shared" si="18"/>
        <v>고석규</v>
      </c>
      <c r="K265" s="93" t="str">
        <f t="shared" si="19"/>
        <v>이승현</v>
      </c>
      <c r="L265" s="16" t="str">
        <f t="shared" si="20"/>
        <v>수</v>
      </c>
      <c r="M265" s="17" t="str">
        <f>IFERROR(VLOOKUP(B265,공휴일!B:C,2,0),"")</f>
        <v/>
      </c>
    </row>
    <row r="266" spans="2:13" x14ac:dyDescent="0.3">
      <c r="B266" s="142">
        <v>46485</v>
      </c>
      <c r="C266" s="143" t="s">
        <v>12</v>
      </c>
      <c r="D266" s="144"/>
      <c r="E266" s="143" t="s">
        <v>10</v>
      </c>
      <c r="F266" s="144"/>
      <c r="G266" s="147"/>
      <c r="H266" s="148" t="str">
        <f>IF(WORKDAY(B266-1,1,공휴일!$B$4:$B$24)=B266,IF(WORKDAY(B266,1,공휴일!$B$4:$B$24)&lt;&gt;B266+1,"금요일","평일"),IF(WORKDAY(B266,1,공휴일!$B$4:$B$24)&lt;&gt;B266+1,"토요일","일요일"))</f>
        <v>평일</v>
      </c>
      <c r="I266" s="125" t="str">
        <f t="shared" si="21"/>
        <v>2027-04</v>
      </c>
      <c r="J266" s="93" t="str">
        <f t="shared" si="18"/>
        <v>한문영</v>
      </c>
      <c r="K266" s="93" t="str">
        <f t="shared" si="19"/>
        <v>유진수</v>
      </c>
      <c r="L266" s="16" t="str">
        <f t="shared" si="20"/>
        <v>목</v>
      </c>
      <c r="M266" s="17" t="str">
        <f>IFERROR(VLOOKUP(B266,공휴일!B:C,2,0),"")</f>
        <v/>
      </c>
    </row>
    <row r="267" spans="2:13" x14ac:dyDescent="0.3">
      <c r="B267" s="142">
        <v>46486</v>
      </c>
      <c r="C267" s="143" t="s">
        <v>16</v>
      </c>
      <c r="D267" s="144"/>
      <c r="E267" s="143" t="s">
        <v>20</v>
      </c>
      <c r="F267" s="144"/>
      <c r="G267" s="147"/>
      <c r="H267" s="148" t="str">
        <f>IF(WORKDAY(B267-1,1,공휴일!$B$4:$B$24)=B267,IF(WORKDAY(B267,1,공휴일!$B$4:$B$24)&lt;&gt;B267+1,"금요일","평일"),IF(WORKDAY(B267,1,공휴일!$B$4:$B$24)&lt;&gt;B267+1,"토요일","일요일"))</f>
        <v>금요일</v>
      </c>
      <c r="I267" s="125" t="str">
        <f t="shared" si="21"/>
        <v>2027-04</v>
      </c>
      <c r="J267" s="93" t="str">
        <f t="shared" si="18"/>
        <v>이현숙</v>
      </c>
      <c r="K267" s="93" t="str">
        <f t="shared" si="19"/>
        <v>이원철</v>
      </c>
      <c r="L267" s="16" t="str">
        <f t="shared" si="20"/>
        <v>금</v>
      </c>
      <c r="M267" s="17" t="str">
        <f>IFERROR(VLOOKUP(B267,공휴일!B:C,2,0),"")</f>
        <v/>
      </c>
    </row>
    <row r="268" spans="2:13" x14ac:dyDescent="0.3">
      <c r="B268" s="142">
        <v>46487</v>
      </c>
      <c r="C268" s="143" t="s">
        <v>13</v>
      </c>
      <c r="D268" s="144"/>
      <c r="E268" s="143" t="s">
        <v>21</v>
      </c>
      <c r="F268" s="144"/>
      <c r="G268" s="147"/>
      <c r="H268" s="148" t="str">
        <f>IF(WORKDAY(B268-1,1,공휴일!$B$4:$B$24)=B268,IF(WORKDAY(B268,1,공휴일!$B$4:$B$24)&lt;&gt;B268+1,"금요일","평일"),IF(WORKDAY(B268,1,공휴일!$B$4:$B$24)&lt;&gt;B268+1,"토요일","일요일"))</f>
        <v>토요일</v>
      </c>
      <c r="I268" s="125" t="str">
        <f t="shared" si="21"/>
        <v>2027-04</v>
      </c>
      <c r="J268" s="93" t="str">
        <f t="shared" si="18"/>
        <v>안지영</v>
      </c>
      <c r="K268" s="93" t="str">
        <f t="shared" si="19"/>
        <v>정찬웅</v>
      </c>
      <c r="L268" s="16" t="str">
        <f t="shared" si="20"/>
        <v>토</v>
      </c>
      <c r="M268" s="17" t="str">
        <f>IFERROR(VLOOKUP(B268,공휴일!B:C,2,0),"")</f>
        <v/>
      </c>
    </row>
    <row r="269" spans="2:13" x14ac:dyDescent="0.3">
      <c r="B269" s="142">
        <v>46488</v>
      </c>
      <c r="C269" s="143" t="s">
        <v>41</v>
      </c>
      <c r="D269" s="144"/>
      <c r="E269" s="143" t="s">
        <v>22</v>
      </c>
      <c r="F269" s="144"/>
      <c r="G269" s="147"/>
      <c r="H269" s="148" t="str">
        <f>IF(WORKDAY(B269-1,1,공휴일!$B$4:$B$24)=B269,IF(WORKDAY(B269,1,공휴일!$B$4:$B$24)&lt;&gt;B269+1,"금요일","평일"),IF(WORKDAY(B269,1,공휴일!$B$4:$B$24)&lt;&gt;B269+1,"토요일","일요일"))</f>
        <v>일요일</v>
      </c>
      <c r="I269" s="125" t="str">
        <f t="shared" si="21"/>
        <v>2027-04</v>
      </c>
      <c r="J269" s="93" t="str">
        <f t="shared" si="18"/>
        <v>송남철</v>
      </c>
      <c r="K269" s="93" t="str">
        <f t="shared" si="19"/>
        <v>서진호</v>
      </c>
      <c r="L269" s="16" t="str">
        <f t="shared" si="20"/>
        <v>일</v>
      </c>
      <c r="M269" s="17" t="str">
        <f>IFERROR(VLOOKUP(B269,공휴일!B:C,2,0),"")</f>
        <v/>
      </c>
    </row>
    <row r="270" spans="2:13" x14ac:dyDescent="0.3">
      <c r="B270" s="142">
        <v>46489</v>
      </c>
      <c r="C270" s="143" t="s">
        <v>17</v>
      </c>
      <c r="D270" s="144"/>
      <c r="E270" s="143" t="s">
        <v>11</v>
      </c>
      <c r="F270" s="144"/>
      <c r="G270" s="147"/>
      <c r="H270" s="148" t="str">
        <f>IF(WORKDAY(B270-1,1,공휴일!$B$4:$B$24)=B270,IF(WORKDAY(B270,1,공휴일!$B$4:$B$24)&lt;&gt;B270+1,"금요일","평일"),IF(WORKDAY(B270,1,공휴일!$B$4:$B$24)&lt;&gt;B270+1,"토요일","일요일"))</f>
        <v>평일</v>
      </c>
      <c r="I270" s="125" t="str">
        <f t="shared" si="21"/>
        <v>2027-04</v>
      </c>
      <c r="J270" s="93" t="str">
        <f t="shared" si="18"/>
        <v>신혜원</v>
      </c>
      <c r="K270" s="93" t="str">
        <f t="shared" si="19"/>
        <v>장민우</v>
      </c>
      <c r="L270" s="16" t="str">
        <f t="shared" si="20"/>
        <v>월</v>
      </c>
      <c r="M270" s="17" t="str">
        <f>IFERROR(VLOOKUP(B270,공휴일!B:C,2,0),"")</f>
        <v/>
      </c>
    </row>
    <row r="271" spans="2:13" x14ac:dyDescent="0.3">
      <c r="B271" s="142">
        <v>46490</v>
      </c>
      <c r="C271" s="143" t="s">
        <v>40</v>
      </c>
      <c r="D271" s="144"/>
      <c r="E271" s="143" t="s">
        <v>19</v>
      </c>
      <c r="F271" s="144"/>
      <c r="G271" s="147"/>
      <c r="H271" s="148" t="str">
        <f>IF(WORKDAY(B271-1,1,공휴일!$B$4:$B$24)=B271,IF(WORKDAY(B271,1,공휴일!$B$4:$B$24)&lt;&gt;B271+1,"금요일","평일"),IF(WORKDAY(B271,1,공휴일!$B$4:$B$24)&lt;&gt;B271+1,"토요일","일요일"))</f>
        <v>평일</v>
      </c>
      <c r="I271" s="125" t="str">
        <f t="shared" si="21"/>
        <v>2027-04</v>
      </c>
      <c r="J271" s="93" t="str">
        <f t="shared" si="18"/>
        <v>여철호</v>
      </c>
      <c r="K271" s="93" t="str">
        <f t="shared" si="19"/>
        <v>우정수</v>
      </c>
      <c r="L271" s="16" t="str">
        <f t="shared" si="20"/>
        <v>화</v>
      </c>
      <c r="M271" s="17" t="str">
        <f>IFERROR(VLOOKUP(B271,공휴일!B:C,2,0),"")</f>
        <v/>
      </c>
    </row>
    <row r="272" spans="2:13" x14ac:dyDescent="0.3">
      <c r="B272" s="142">
        <v>46491</v>
      </c>
      <c r="C272" s="143" t="s">
        <v>15</v>
      </c>
      <c r="D272" s="144"/>
      <c r="E272" s="143" t="s">
        <v>44</v>
      </c>
      <c r="F272" s="144"/>
      <c r="G272" s="147"/>
      <c r="H272" s="148" t="str">
        <f>IF(WORKDAY(B272-1,1,공휴일!$B$4:$B$24)=B272,IF(WORKDAY(B272,1,공휴일!$B$4:$B$24)&lt;&gt;B272+1,"금요일","평일"),IF(WORKDAY(B272,1,공휴일!$B$4:$B$24)&lt;&gt;B272+1,"토요일","일요일"))</f>
        <v>평일</v>
      </c>
      <c r="I272" s="125" t="str">
        <f t="shared" si="21"/>
        <v>2027-04</v>
      </c>
      <c r="J272" s="93" t="str">
        <f t="shared" si="18"/>
        <v>구민아</v>
      </c>
      <c r="K272" s="93" t="str">
        <f t="shared" si="19"/>
        <v>오기희</v>
      </c>
      <c r="L272" s="16" t="str">
        <f t="shared" si="20"/>
        <v>수</v>
      </c>
      <c r="M272" s="17" t="str">
        <f>IFERROR(VLOOKUP(B272,공휴일!B:C,2,0),"")</f>
        <v/>
      </c>
    </row>
    <row r="273" spans="2:13" x14ac:dyDescent="0.3">
      <c r="B273" s="142">
        <v>46492</v>
      </c>
      <c r="C273" s="143" t="s">
        <v>14</v>
      </c>
      <c r="D273" s="144"/>
      <c r="E273" s="143" t="s">
        <v>18</v>
      </c>
      <c r="F273" s="144"/>
      <c r="G273" s="147"/>
      <c r="H273" s="148" t="str">
        <f>IF(WORKDAY(B273-1,1,공휴일!$B$4:$B$24)=B273,IF(WORKDAY(B273,1,공휴일!$B$4:$B$24)&lt;&gt;B273+1,"금요일","평일"),IF(WORKDAY(B273,1,공휴일!$B$4:$B$24)&lt;&gt;B273+1,"토요일","일요일"))</f>
        <v>평일</v>
      </c>
      <c r="I273" s="125" t="str">
        <f t="shared" si="21"/>
        <v>2027-04</v>
      </c>
      <c r="J273" s="93" t="str">
        <f t="shared" si="18"/>
        <v>고석규</v>
      </c>
      <c r="K273" s="93" t="str">
        <f t="shared" si="19"/>
        <v>이승현</v>
      </c>
      <c r="L273" s="16" t="str">
        <f t="shared" si="20"/>
        <v>목</v>
      </c>
      <c r="M273" s="17" t="str">
        <f>IFERROR(VLOOKUP(B273,공휴일!B:C,2,0),"")</f>
        <v/>
      </c>
    </row>
    <row r="274" spans="2:13" x14ac:dyDescent="0.3">
      <c r="B274" s="142">
        <v>46493</v>
      </c>
      <c r="C274" s="143" t="s">
        <v>12</v>
      </c>
      <c r="D274" s="144"/>
      <c r="E274" s="143" t="s">
        <v>10</v>
      </c>
      <c r="F274" s="144"/>
      <c r="G274" s="147"/>
      <c r="H274" s="148" t="str">
        <f>IF(WORKDAY(B274-1,1,공휴일!$B$4:$B$24)=B274,IF(WORKDAY(B274,1,공휴일!$B$4:$B$24)&lt;&gt;B274+1,"금요일","평일"),IF(WORKDAY(B274,1,공휴일!$B$4:$B$24)&lt;&gt;B274+1,"토요일","일요일"))</f>
        <v>금요일</v>
      </c>
      <c r="I274" s="125" t="str">
        <f t="shared" si="21"/>
        <v>2027-04</v>
      </c>
      <c r="J274" s="93" t="str">
        <f t="shared" si="18"/>
        <v>한문영</v>
      </c>
      <c r="K274" s="93" t="str">
        <f t="shared" si="19"/>
        <v>유진수</v>
      </c>
      <c r="L274" s="16" t="str">
        <f t="shared" si="20"/>
        <v>금</v>
      </c>
      <c r="M274" s="17" t="str">
        <f>IFERROR(VLOOKUP(B274,공휴일!B:C,2,0),"")</f>
        <v/>
      </c>
    </row>
    <row r="275" spans="2:13" x14ac:dyDescent="0.3">
      <c r="B275" s="142">
        <v>46494</v>
      </c>
      <c r="C275" s="143" t="s">
        <v>16</v>
      </c>
      <c r="D275" s="144"/>
      <c r="E275" s="143" t="s">
        <v>20</v>
      </c>
      <c r="F275" s="144"/>
      <c r="G275" s="147"/>
      <c r="H275" s="148" t="str">
        <f>IF(WORKDAY(B275-1,1,공휴일!$B$4:$B$24)=B275,IF(WORKDAY(B275,1,공휴일!$B$4:$B$24)&lt;&gt;B275+1,"금요일","평일"),IF(WORKDAY(B275,1,공휴일!$B$4:$B$24)&lt;&gt;B275+1,"토요일","일요일"))</f>
        <v>토요일</v>
      </c>
      <c r="I275" s="125" t="str">
        <f t="shared" si="21"/>
        <v>2027-04</v>
      </c>
      <c r="J275" s="93" t="str">
        <f t="shared" si="18"/>
        <v>이현숙</v>
      </c>
      <c r="K275" s="93" t="str">
        <f t="shared" si="19"/>
        <v>이원철</v>
      </c>
      <c r="L275" s="16" t="str">
        <f t="shared" si="20"/>
        <v>토</v>
      </c>
      <c r="M275" s="17" t="str">
        <f>IFERROR(VLOOKUP(B275,공휴일!B:C,2,0),"")</f>
        <v/>
      </c>
    </row>
    <row r="276" spans="2:13" x14ac:dyDescent="0.3">
      <c r="B276" s="142">
        <v>46495</v>
      </c>
      <c r="C276" s="143" t="s">
        <v>13</v>
      </c>
      <c r="D276" s="144"/>
      <c r="E276" s="143" t="s">
        <v>21</v>
      </c>
      <c r="F276" s="144"/>
      <c r="G276" s="147"/>
      <c r="H276" s="148" t="str">
        <f>IF(WORKDAY(B276-1,1,공휴일!$B$4:$B$24)=B276,IF(WORKDAY(B276,1,공휴일!$B$4:$B$24)&lt;&gt;B276+1,"금요일","평일"),IF(WORKDAY(B276,1,공휴일!$B$4:$B$24)&lt;&gt;B276+1,"토요일","일요일"))</f>
        <v>일요일</v>
      </c>
      <c r="I276" s="125" t="str">
        <f t="shared" si="21"/>
        <v>2027-04</v>
      </c>
      <c r="J276" s="93" t="str">
        <f t="shared" si="18"/>
        <v>안지영</v>
      </c>
      <c r="K276" s="93" t="str">
        <f t="shared" si="19"/>
        <v>정찬웅</v>
      </c>
      <c r="L276" s="16" t="str">
        <f t="shared" si="20"/>
        <v>일</v>
      </c>
      <c r="M276" s="17" t="str">
        <f>IFERROR(VLOOKUP(B276,공휴일!B:C,2,0),"")</f>
        <v/>
      </c>
    </row>
    <row r="277" spans="2:13" x14ac:dyDescent="0.3">
      <c r="B277" s="142">
        <v>46496</v>
      </c>
      <c r="C277" s="143" t="s">
        <v>41</v>
      </c>
      <c r="D277" s="144"/>
      <c r="E277" s="143" t="s">
        <v>22</v>
      </c>
      <c r="F277" s="144"/>
      <c r="G277" s="147"/>
      <c r="H277" s="148" t="str">
        <f>IF(WORKDAY(B277-1,1,공휴일!$B$4:$B$24)=B277,IF(WORKDAY(B277,1,공휴일!$B$4:$B$24)&lt;&gt;B277+1,"금요일","평일"),IF(WORKDAY(B277,1,공휴일!$B$4:$B$24)&lt;&gt;B277+1,"토요일","일요일"))</f>
        <v>평일</v>
      </c>
      <c r="I277" s="125" t="str">
        <f t="shared" si="21"/>
        <v>2027-04</v>
      </c>
      <c r="J277" s="93" t="str">
        <f t="shared" si="18"/>
        <v>송남철</v>
      </c>
      <c r="K277" s="93" t="str">
        <f t="shared" si="19"/>
        <v>서진호</v>
      </c>
      <c r="L277" s="16" t="str">
        <f t="shared" si="20"/>
        <v>월</v>
      </c>
      <c r="M277" s="17" t="str">
        <f>IFERROR(VLOOKUP(B277,공휴일!B:C,2,0),"")</f>
        <v/>
      </c>
    </row>
    <row r="278" spans="2:13" x14ac:dyDescent="0.3">
      <c r="B278" s="142">
        <v>46497</v>
      </c>
      <c r="C278" s="143" t="s">
        <v>17</v>
      </c>
      <c r="D278" s="144"/>
      <c r="E278" s="143" t="s">
        <v>11</v>
      </c>
      <c r="F278" s="144"/>
      <c r="G278" s="147"/>
      <c r="H278" s="148" t="str">
        <f>IF(WORKDAY(B278-1,1,공휴일!$B$4:$B$24)=B278,IF(WORKDAY(B278,1,공휴일!$B$4:$B$24)&lt;&gt;B278+1,"금요일","평일"),IF(WORKDAY(B278,1,공휴일!$B$4:$B$24)&lt;&gt;B278+1,"토요일","일요일"))</f>
        <v>평일</v>
      </c>
      <c r="I278" s="125" t="str">
        <f t="shared" si="21"/>
        <v>2027-04</v>
      </c>
      <c r="J278" s="93" t="str">
        <f t="shared" si="18"/>
        <v>신혜원</v>
      </c>
      <c r="K278" s="93" t="str">
        <f t="shared" si="19"/>
        <v>장민우</v>
      </c>
      <c r="L278" s="16" t="str">
        <f t="shared" si="20"/>
        <v>화</v>
      </c>
      <c r="M278" s="17" t="str">
        <f>IFERROR(VLOOKUP(B278,공휴일!B:C,2,0),"")</f>
        <v/>
      </c>
    </row>
    <row r="279" spans="2:13" x14ac:dyDescent="0.3">
      <c r="B279" s="142">
        <v>46498</v>
      </c>
      <c r="C279" s="143" t="s">
        <v>40</v>
      </c>
      <c r="D279" s="144"/>
      <c r="E279" s="143" t="s">
        <v>19</v>
      </c>
      <c r="F279" s="144"/>
      <c r="G279" s="147"/>
      <c r="H279" s="148" t="str">
        <f>IF(WORKDAY(B279-1,1,공휴일!$B$4:$B$24)=B279,IF(WORKDAY(B279,1,공휴일!$B$4:$B$24)&lt;&gt;B279+1,"금요일","평일"),IF(WORKDAY(B279,1,공휴일!$B$4:$B$24)&lt;&gt;B279+1,"토요일","일요일"))</f>
        <v>평일</v>
      </c>
      <c r="I279" s="125" t="str">
        <f t="shared" si="21"/>
        <v>2027-04</v>
      </c>
      <c r="J279" s="93" t="str">
        <f t="shared" si="18"/>
        <v>여철호</v>
      </c>
      <c r="K279" s="93" t="str">
        <f t="shared" si="19"/>
        <v>우정수</v>
      </c>
      <c r="L279" s="16" t="str">
        <f t="shared" si="20"/>
        <v>수</v>
      </c>
      <c r="M279" s="17" t="str">
        <f>IFERROR(VLOOKUP(B279,공휴일!B:C,2,0),"")</f>
        <v/>
      </c>
    </row>
    <row r="280" spans="2:13" x14ac:dyDescent="0.3">
      <c r="B280" s="142">
        <v>46499</v>
      </c>
      <c r="C280" s="143" t="s">
        <v>15</v>
      </c>
      <c r="D280" s="144"/>
      <c r="E280" s="143" t="s">
        <v>44</v>
      </c>
      <c r="F280" s="144"/>
      <c r="G280" s="147"/>
      <c r="H280" s="148" t="str">
        <f>IF(WORKDAY(B280-1,1,공휴일!$B$4:$B$24)=B280,IF(WORKDAY(B280,1,공휴일!$B$4:$B$24)&lt;&gt;B280+1,"금요일","평일"),IF(WORKDAY(B280,1,공휴일!$B$4:$B$24)&lt;&gt;B280+1,"토요일","일요일"))</f>
        <v>평일</v>
      </c>
      <c r="I280" s="125" t="str">
        <f t="shared" si="21"/>
        <v>2027-04</v>
      </c>
      <c r="J280" s="93" t="str">
        <f t="shared" si="18"/>
        <v>구민아</v>
      </c>
      <c r="K280" s="93" t="str">
        <f t="shared" si="19"/>
        <v>오기희</v>
      </c>
      <c r="L280" s="16" t="str">
        <f t="shared" si="20"/>
        <v>목</v>
      </c>
      <c r="M280" s="17" t="str">
        <f>IFERROR(VLOOKUP(B280,공휴일!B:C,2,0),"")</f>
        <v/>
      </c>
    </row>
    <row r="281" spans="2:13" x14ac:dyDescent="0.3">
      <c r="B281" s="142">
        <v>46500</v>
      </c>
      <c r="C281" s="143" t="s">
        <v>14</v>
      </c>
      <c r="D281" s="144"/>
      <c r="E281" s="143" t="s">
        <v>18</v>
      </c>
      <c r="F281" s="144"/>
      <c r="G281" s="147"/>
      <c r="H281" s="148" t="str">
        <f>IF(WORKDAY(B281-1,1,공휴일!$B$4:$B$24)=B281,IF(WORKDAY(B281,1,공휴일!$B$4:$B$24)&lt;&gt;B281+1,"금요일","평일"),IF(WORKDAY(B281,1,공휴일!$B$4:$B$24)&lt;&gt;B281+1,"토요일","일요일"))</f>
        <v>금요일</v>
      </c>
      <c r="I281" s="125" t="str">
        <f t="shared" si="21"/>
        <v>2027-04</v>
      </c>
      <c r="J281" s="93" t="str">
        <f t="shared" si="18"/>
        <v>고석규</v>
      </c>
      <c r="K281" s="93" t="str">
        <f t="shared" si="19"/>
        <v>이승현</v>
      </c>
      <c r="L281" s="16" t="str">
        <f t="shared" si="20"/>
        <v>금</v>
      </c>
      <c r="M281" s="17" t="str">
        <f>IFERROR(VLOOKUP(B281,공휴일!B:C,2,0),"")</f>
        <v/>
      </c>
    </row>
    <row r="282" spans="2:13" x14ac:dyDescent="0.3">
      <c r="B282" s="142">
        <v>46501</v>
      </c>
      <c r="C282" s="143" t="s">
        <v>12</v>
      </c>
      <c r="D282" s="144"/>
      <c r="E282" s="143" t="s">
        <v>10</v>
      </c>
      <c r="F282" s="144"/>
      <c r="G282" s="147"/>
      <c r="H282" s="148" t="str">
        <f>IF(WORKDAY(B282-1,1,공휴일!$B$4:$B$24)=B282,IF(WORKDAY(B282,1,공휴일!$B$4:$B$24)&lt;&gt;B282+1,"금요일","평일"),IF(WORKDAY(B282,1,공휴일!$B$4:$B$24)&lt;&gt;B282+1,"토요일","일요일"))</f>
        <v>토요일</v>
      </c>
      <c r="I282" s="125" t="str">
        <f t="shared" si="21"/>
        <v>2027-04</v>
      </c>
      <c r="J282" s="93" t="str">
        <f t="shared" si="18"/>
        <v>한문영</v>
      </c>
      <c r="K282" s="93" t="str">
        <f t="shared" si="19"/>
        <v>유진수</v>
      </c>
      <c r="L282" s="16" t="str">
        <f t="shared" si="20"/>
        <v>토</v>
      </c>
      <c r="M282" s="17" t="str">
        <f>IFERROR(VLOOKUP(B282,공휴일!B:C,2,0),"")</f>
        <v/>
      </c>
    </row>
    <row r="283" spans="2:13" x14ac:dyDescent="0.3">
      <c r="B283" s="142">
        <v>46502</v>
      </c>
      <c r="C283" s="143" t="s">
        <v>16</v>
      </c>
      <c r="D283" s="144"/>
      <c r="E283" s="143" t="s">
        <v>20</v>
      </c>
      <c r="F283" s="144"/>
      <c r="G283" s="147"/>
      <c r="H283" s="148" t="str">
        <f>IF(WORKDAY(B283-1,1,공휴일!$B$4:$B$24)=B283,IF(WORKDAY(B283,1,공휴일!$B$4:$B$24)&lt;&gt;B283+1,"금요일","평일"),IF(WORKDAY(B283,1,공휴일!$B$4:$B$24)&lt;&gt;B283+1,"토요일","일요일"))</f>
        <v>일요일</v>
      </c>
      <c r="I283" s="125" t="str">
        <f t="shared" si="21"/>
        <v>2027-04</v>
      </c>
      <c r="J283" s="93" t="str">
        <f t="shared" si="18"/>
        <v>이현숙</v>
      </c>
      <c r="K283" s="93" t="str">
        <f t="shared" si="19"/>
        <v>이원철</v>
      </c>
      <c r="L283" s="16" t="str">
        <f t="shared" si="20"/>
        <v>일</v>
      </c>
      <c r="M283" s="17" t="str">
        <f>IFERROR(VLOOKUP(B283,공휴일!B:C,2,0),"")</f>
        <v/>
      </c>
    </row>
    <row r="284" spans="2:13" x14ac:dyDescent="0.3">
      <c r="B284" s="142">
        <v>46503</v>
      </c>
      <c r="C284" s="143" t="s">
        <v>13</v>
      </c>
      <c r="D284" s="144"/>
      <c r="E284" s="143" t="s">
        <v>21</v>
      </c>
      <c r="F284" s="144"/>
      <c r="G284" s="147"/>
      <c r="H284" s="148" t="str">
        <f>IF(WORKDAY(B284-1,1,공휴일!$B$4:$B$24)=B284,IF(WORKDAY(B284,1,공휴일!$B$4:$B$24)&lt;&gt;B284+1,"금요일","평일"),IF(WORKDAY(B284,1,공휴일!$B$4:$B$24)&lt;&gt;B284+1,"토요일","일요일"))</f>
        <v>평일</v>
      </c>
      <c r="I284" s="125" t="str">
        <f t="shared" si="21"/>
        <v>2027-04</v>
      </c>
      <c r="J284" s="93" t="str">
        <f t="shared" si="18"/>
        <v>안지영</v>
      </c>
      <c r="K284" s="93" t="str">
        <f t="shared" si="19"/>
        <v>정찬웅</v>
      </c>
      <c r="L284" s="16" t="str">
        <f t="shared" si="20"/>
        <v>월</v>
      </c>
      <c r="M284" s="17" t="str">
        <f>IFERROR(VLOOKUP(B284,공휴일!B:C,2,0),"")</f>
        <v/>
      </c>
    </row>
    <row r="285" spans="2:13" x14ac:dyDescent="0.3">
      <c r="B285" s="142">
        <v>46504</v>
      </c>
      <c r="C285" s="143" t="s">
        <v>41</v>
      </c>
      <c r="D285" s="144"/>
      <c r="E285" s="143" t="s">
        <v>22</v>
      </c>
      <c r="F285" s="144"/>
      <c r="G285" s="147"/>
      <c r="H285" s="148" t="str">
        <f>IF(WORKDAY(B285-1,1,공휴일!$B$4:$B$24)=B285,IF(WORKDAY(B285,1,공휴일!$B$4:$B$24)&lt;&gt;B285+1,"금요일","평일"),IF(WORKDAY(B285,1,공휴일!$B$4:$B$24)&lt;&gt;B285+1,"토요일","일요일"))</f>
        <v>평일</v>
      </c>
      <c r="I285" s="125" t="str">
        <f t="shared" si="21"/>
        <v>2027-04</v>
      </c>
      <c r="J285" s="93" t="str">
        <f t="shared" si="18"/>
        <v>송남철</v>
      </c>
      <c r="K285" s="93" t="str">
        <f t="shared" si="19"/>
        <v>서진호</v>
      </c>
      <c r="L285" s="16" t="str">
        <f t="shared" si="20"/>
        <v>화</v>
      </c>
      <c r="M285" s="17" t="str">
        <f>IFERROR(VLOOKUP(B285,공휴일!B:C,2,0),"")</f>
        <v/>
      </c>
    </row>
    <row r="286" spans="2:13" x14ac:dyDescent="0.3">
      <c r="B286" s="142">
        <v>46505</v>
      </c>
      <c r="C286" s="143" t="s">
        <v>17</v>
      </c>
      <c r="D286" s="144"/>
      <c r="E286" s="143" t="s">
        <v>11</v>
      </c>
      <c r="F286" s="144"/>
      <c r="G286" s="147"/>
      <c r="H286" s="148" t="str">
        <f>IF(WORKDAY(B286-1,1,공휴일!$B$4:$B$24)=B286,IF(WORKDAY(B286,1,공휴일!$B$4:$B$24)&lt;&gt;B286+1,"금요일","평일"),IF(WORKDAY(B286,1,공휴일!$B$4:$B$24)&lt;&gt;B286+1,"토요일","일요일"))</f>
        <v>평일</v>
      </c>
      <c r="I286" s="125" t="str">
        <f t="shared" si="21"/>
        <v>2027-04</v>
      </c>
      <c r="J286" s="93" t="str">
        <f t="shared" si="18"/>
        <v>신혜원</v>
      </c>
      <c r="K286" s="93" t="str">
        <f t="shared" si="19"/>
        <v>장민우</v>
      </c>
      <c r="L286" s="16" t="str">
        <f t="shared" si="20"/>
        <v>수</v>
      </c>
      <c r="M286" s="17" t="str">
        <f>IFERROR(VLOOKUP(B286,공휴일!B:C,2,0),"")</f>
        <v/>
      </c>
    </row>
    <row r="287" spans="2:13" x14ac:dyDescent="0.3">
      <c r="B287" s="142">
        <v>46506</v>
      </c>
      <c r="C287" s="143" t="s">
        <v>40</v>
      </c>
      <c r="D287" s="144"/>
      <c r="E287" s="143" t="s">
        <v>19</v>
      </c>
      <c r="F287" s="144"/>
      <c r="G287" s="147"/>
      <c r="H287" s="148" t="str">
        <f>IF(WORKDAY(B287-1,1,공휴일!$B$4:$B$24)=B287,IF(WORKDAY(B287,1,공휴일!$B$4:$B$24)&lt;&gt;B287+1,"금요일","평일"),IF(WORKDAY(B287,1,공휴일!$B$4:$B$24)&lt;&gt;B287+1,"토요일","일요일"))</f>
        <v>평일</v>
      </c>
      <c r="I287" s="125" t="str">
        <f t="shared" si="21"/>
        <v>2027-04</v>
      </c>
      <c r="J287" s="93" t="str">
        <f t="shared" si="18"/>
        <v>여철호</v>
      </c>
      <c r="K287" s="93" t="str">
        <f t="shared" si="19"/>
        <v>우정수</v>
      </c>
      <c r="L287" s="16" t="str">
        <f t="shared" si="20"/>
        <v>목</v>
      </c>
      <c r="M287" s="17" t="str">
        <f>IFERROR(VLOOKUP(B287,공휴일!B:C,2,0),"")</f>
        <v/>
      </c>
    </row>
    <row r="288" spans="2:13" x14ac:dyDescent="0.3">
      <c r="B288" s="142">
        <v>46507</v>
      </c>
      <c r="C288" s="143" t="s">
        <v>15</v>
      </c>
      <c r="D288" s="144"/>
      <c r="E288" s="143" t="s">
        <v>44</v>
      </c>
      <c r="F288" s="144"/>
      <c r="G288" s="147"/>
      <c r="H288" s="148" t="str">
        <f>IF(WORKDAY(B288-1,1,공휴일!$B$4:$B$24)=B288,IF(WORKDAY(B288,1,공휴일!$B$4:$B$24)&lt;&gt;B288+1,"금요일","평일"),IF(WORKDAY(B288,1,공휴일!$B$4:$B$24)&lt;&gt;B288+1,"토요일","일요일"))</f>
        <v>금요일</v>
      </c>
      <c r="I288" s="125" t="str">
        <f t="shared" si="21"/>
        <v>2027-04</v>
      </c>
      <c r="J288" s="93" t="str">
        <f t="shared" si="18"/>
        <v>구민아</v>
      </c>
      <c r="K288" s="93" t="str">
        <f t="shared" si="19"/>
        <v>오기희</v>
      </c>
      <c r="L288" s="16" t="str">
        <f t="shared" si="20"/>
        <v>금</v>
      </c>
      <c r="M288" s="17" t="str">
        <f>IFERROR(VLOOKUP(B288,공휴일!B:C,2,0),"")</f>
        <v/>
      </c>
    </row>
    <row r="289" spans="2:13" x14ac:dyDescent="0.3">
      <c r="B289" s="142">
        <v>46508</v>
      </c>
      <c r="C289" s="143" t="s">
        <v>14</v>
      </c>
      <c r="D289" s="144"/>
      <c r="E289" s="143" t="s">
        <v>18</v>
      </c>
      <c r="F289" s="144"/>
      <c r="G289" s="147"/>
      <c r="H289" s="148" t="str">
        <f>IF(WORKDAY(B289-1,1,공휴일!$B$4:$B$24)=B289,IF(WORKDAY(B289,1,공휴일!$B$4:$B$24)&lt;&gt;B289+1,"금요일","평일"),IF(WORKDAY(B289,1,공휴일!$B$4:$B$24)&lt;&gt;B289+1,"토요일","일요일"))</f>
        <v>토요일</v>
      </c>
      <c r="I289" s="125" t="str">
        <f t="shared" si="21"/>
        <v>2027-05</v>
      </c>
      <c r="J289" s="93" t="str">
        <f t="shared" si="18"/>
        <v>고석규</v>
      </c>
      <c r="K289" s="93" t="str">
        <f t="shared" si="19"/>
        <v>이승현</v>
      </c>
      <c r="L289" s="16" t="str">
        <f t="shared" si="20"/>
        <v>토</v>
      </c>
      <c r="M289" s="17" t="str">
        <f>IFERROR(VLOOKUP(B289,공휴일!B:C,2,0),"")</f>
        <v/>
      </c>
    </row>
    <row r="290" spans="2:13" x14ac:dyDescent="0.3">
      <c r="B290" s="142">
        <v>46509</v>
      </c>
      <c r="C290" s="143" t="s">
        <v>12</v>
      </c>
      <c r="D290" s="144"/>
      <c r="E290" s="143" t="s">
        <v>10</v>
      </c>
      <c r="F290" s="144"/>
      <c r="G290" s="147"/>
      <c r="H290" s="148" t="str">
        <f>IF(WORKDAY(B290-1,1,공휴일!$B$4:$B$24)=B290,IF(WORKDAY(B290,1,공휴일!$B$4:$B$24)&lt;&gt;B290+1,"금요일","평일"),IF(WORKDAY(B290,1,공휴일!$B$4:$B$24)&lt;&gt;B290+1,"토요일","일요일"))</f>
        <v>일요일</v>
      </c>
      <c r="I290" s="125" t="str">
        <f t="shared" si="21"/>
        <v>2027-05</v>
      </c>
      <c r="J290" s="93" t="str">
        <f t="shared" si="18"/>
        <v>한문영</v>
      </c>
      <c r="K290" s="93" t="str">
        <f t="shared" si="19"/>
        <v>유진수</v>
      </c>
      <c r="L290" s="16" t="str">
        <f t="shared" si="20"/>
        <v>일</v>
      </c>
      <c r="M290" s="17" t="str">
        <f>IFERROR(VLOOKUP(B290,공휴일!B:C,2,0),"")</f>
        <v/>
      </c>
    </row>
    <row r="291" spans="2:13" x14ac:dyDescent="0.3">
      <c r="B291" s="142">
        <v>46510</v>
      </c>
      <c r="C291" s="143" t="s">
        <v>16</v>
      </c>
      <c r="D291" s="144"/>
      <c r="E291" s="143" t="s">
        <v>20</v>
      </c>
      <c r="F291" s="144"/>
      <c r="G291" s="147"/>
      <c r="H291" s="148" t="str">
        <f>IF(WORKDAY(B291-1,1,공휴일!$B$4:$B$24)=B291,IF(WORKDAY(B291,1,공휴일!$B$4:$B$24)&lt;&gt;B291+1,"금요일","평일"),IF(WORKDAY(B291,1,공휴일!$B$4:$B$24)&lt;&gt;B291+1,"토요일","일요일"))</f>
        <v>평일</v>
      </c>
      <c r="I291" s="125" t="str">
        <f t="shared" si="21"/>
        <v>2027-05</v>
      </c>
      <c r="J291" s="93" t="str">
        <f t="shared" si="18"/>
        <v>이현숙</v>
      </c>
      <c r="K291" s="93" t="str">
        <f t="shared" si="19"/>
        <v>이원철</v>
      </c>
      <c r="L291" s="16" t="str">
        <f t="shared" si="20"/>
        <v>월</v>
      </c>
      <c r="M291" s="17" t="str">
        <f>IFERROR(VLOOKUP(B291,공휴일!B:C,2,0),"")</f>
        <v/>
      </c>
    </row>
    <row r="292" spans="2:13" x14ac:dyDescent="0.3">
      <c r="B292" s="142">
        <v>46511</v>
      </c>
      <c r="C292" s="143" t="s">
        <v>13</v>
      </c>
      <c r="D292" s="144"/>
      <c r="E292" s="143" t="s">
        <v>21</v>
      </c>
      <c r="F292" s="144"/>
      <c r="G292" s="147"/>
      <c r="H292" s="148" t="str">
        <f>IF(WORKDAY(B292-1,1,공휴일!$B$4:$B$24)=B292,IF(WORKDAY(B292,1,공휴일!$B$4:$B$24)&lt;&gt;B292+1,"금요일","평일"),IF(WORKDAY(B292,1,공휴일!$B$4:$B$24)&lt;&gt;B292+1,"토요일","일요일"))</f>
        <v>평일</v>
      </c>
      <c r="I292" s="125" t="str">
        <f t="shared" si="21"/>
        <v>2027-05</v>
      </c>
      <c r="J292" s="93" t="str">
        <f t="shared" si="18"/>
        <v>안지영</v>
      </c>
      <c r="K292" s="93" t="str">
        <f t="shared" si="19"/>
        <v>정찬웅</v>
      </c>
      <c r="L292" s="16" t="str">
        <f t="shared" si="20"/>
        <v>화</v>
      </c>
      <c r="M292" s="17" t="str">
        <f>IFERROR(VLOOKUP(B292,공휴일!B:C,2,0),"")</f>
        <v/>
      </c>
    </row>
    <row r="293" spans="2:13" x14ac:dyDescent="0.3">
      <c r="B293" s="142">
        <v>46512</v>
      </c>
      <c r="C293" s="143" t="s">
        <v>41</v>
      </c>
      <c r="D293" s="144"/>
      <c r="E293" s="143" t="s">
        <v>22</v>
      </c>
      <c r="F293" s="144"/>
      <c r="G293" s="147"/>
      <c r="H293" s="148" t="str">
        <f>IF(WORKDAY(B293-1,1,공휴일!$B$4:$B$24)=B293,IF(WORKDAY(B293,1,공휴일!$B$4:$B$24)&lt;&gt;B293+1,"금요일","평일"),IF(WORKDAY(B293,1,공휴일!$B$4:$B$24)&lt;&gt;B293+1,"토요일","일요일"))</f>
        <v>평일</v>
      </c>
      <c r="I293" s="125" t="str">
        <f t="shared" si="21"/>
        <v>2027-05</v>
      </c>
      <c r="J293" s="93" t="str">
        <f t="shared" si="18"/>
        <v>송남철</v>
      </c>
      <c r="K293" s="93" t="str">
        <f t="shared" si="19"/>
        <v>서진호</v>
      </c>
      <c r="L293" s="16" t="str">
        <f t="shared" si="20"/>
        <v>수</v>
      </c>
      <c r="M293" s="17" t="str">
        <f>IFERROR(VLOOKUP(B293,공휴일!B:C,2,0),"")</f>
        <v>어린이날</v>
      </c>
    </row>
    <row r="294" spans="2:13" x14ac:dyDescent="0.3">
      <c r="B294" s="142">
        <v>46513</v>
      </c>
      <c r="C294" s="143" t="s">
        <v>17</v>
      </c>
      <c r="D294" s="144"/>
      <c r="E294" s="143" t="s">
        <v>11</v>
      </c>
      <c r="F294" s="144"/>
      <c r="G294" s="147"/>
      <c r="H294" s="148" t="str">
        <f>IF(WORKDAY(B294-1,1,공휴일!$B$4:$B$24)=B294,IF(WORKDAY(B294,1,공휴일!$B$4:$B$24)&lt;&gt;B294+1,"금요일","평일"),IF(WORKDAY(B294,1,공휴일!$B$4:$B$24)&lt;&gt;B294+1,"토요일","일요일"))</f>
        <v>평일</v>
      </c>
      <c r="I294" s="125" t="str">
        <f t="shared" si="21"/>
        <v>2027-05</v>
      </c>
      <c r="J294" s="93" t="str">
        <f t="shared" si="18"/>
        <v>신혜원</v>
      </c>
      <c r="K294" s="93" t="str">
        <f t="shared" si="19"/>
        <v>장민우</v>
      </c>
      <c r="L294" s="16" t="str">
        <f t="shared" si="20"/>
        <v>목</v>
      </c>
      <c r="M294" s="17" t="str">
        <f>IFERROR(VLOOKUP(B294,공휴일!B:C,2,0),"")</f>
        <v/>
      </c>
    </row>
    <row r="295" spans="2:13" x14ac:dyDescent="0.3">
      <c r="B295" s="142">
        <v>46514</v>
      </c>
      <c r="C295" s="143" t="s">
        <v>40</v>
      </c>
      <c r="D295" s="144"/>
      <c r="E295" s="143" t="s">
        <v>19</v>
      </c>
      <c r="F295" s="144"/>
      <c r="G295" s="147"/>
      <c r="H295" s="148" t="str">
        <f>IF(WORKDAY(B295-1,1,공휴일!$B$4:$B$24)=B295,IF(WORKDAY(B295,1,공휴일!$B$4:$B$24)&lt;&gt;B295+1,"금요일","평일"),IF(WORKDAY(B295,1,공휴일!$B$4:$B$24)&lt;&gt;B295+1,"토요일","일요일"))</f>
        <v>금요일</v>
      </c>
      <c r="I295" s="125" t="str">
        <f t="shared" si="21"/>
        <v>2027-05</v>
      </c>
      <c r="J295" s="93" t="str">
        <f t="shared" si="18"/>
        <v>여철호</v>
      </c>
      <c r="K295" s="93" t="str">
        <f t="shared" si="19"/>
        <v>우정수</v>
      </c>
      <c r="L295" s="16" t="str">
        <f t="shared" si="20"/>
        <v>금</v>
      </c>
      <c r="M295" s="17" t="str">
        <f>IFERROR(VLOOKUP(B295,공휴일!B:C,2,0),"")</f>
        <v/>
      </c>
    </row>
    <row r="296" spans="2:13" x14ac:dyDescent="0.3">
      <c r="B296" s="142">
        <v>46515</v>
      </c>
      <c r="C296" s="143" t="s">
        <v>15</v>
      </c>
      <c r="D296" s="144"/>
      <c r="E296" s="143" t="s">
        <v>44</v>
      </c>
      <c r="F296" s="144"/>
      <c r="G296" s="147"/>
      <c r="H296" s="148" t="str">
        <f>IF(WORKDAY(B296-1,1,공휴일!$B$4:$B$24)=B296,IF(WORKDAY(B296,1,공휴일!$B$4:$B$24)&lt;&gt;B296+1,"금요일","평일"),IF(WORKDAY(B296,1,공휴일!$B$4:$B$24)&lt;&gt;B296+1,"토요일","일요일"))</f>
        <v>토요일</v>
      </c>
      <c r="I296" s="125" t="str">
        <f t="shared" si="21"/>
        <v>2027-05</v>
      </c>
      <c r="J296" s="93" t="str">
        <f t="shared" si="18"/>
        <v>구민아</v>
      </c>
      <c r="K296" s="93" t="str">
        <f t="shared" si="19"/>
        <v>오기희</v>
      </c>
      <c r="L296" s="16" t="str">
        <f t="shared" si="20"/>
        <v>토</v>
      </c>
      <c r="M296" s="17" t="str">
        <f>IFERROR(VLOOKUP(B296,공휴일!B:C,2,0),"")</f>
        <v/>
      </c>
    </row>
    <row r="297" spans="2:13" x14ac:dyDescent="0.3">
      <c r="B297" s="142">
        <v>46516</v>
      </c>
      <c r="C297" s="143" t="s">
        <v>14</v>
      </c>
      <c r="D297" s="144"/>
      <c r="E297" s="143" t="s">
        <v>18</v>
      </c>
      <c r="F297" s="144"/>
      <c r="G297" s="147"/>
      <c r="H297" s="148" t="str">
        <f>IF(WORKDAY(B297-1,1,공휴일!$B$4:$B$24)=B297,IF(WORKDAY(B297,1,공휴일!$B$4:$B$24)&lt;&gt;B297+1,"금요일","평일"),IF(WORKDAY(B297,1,공휴일!$B$4:$B$24)&lt;&gt;B297+1,"토요일","일요일"))</f>
        <v>일요일</v>
      </c>
      <c r="I297" s="125" t="str">
        <f t="shared" si="21"/>
        <v>2027-05</v>
      </c>
      <c r="J297" s="93" t="str">
        <f t="shared" ref="J297:J360" si="22">IF(D297="",C297,D297)</f>
        <v>고석규</v>
      </c>
      <c r="K297" s="93" t="str">
        <f t="shared" ref="K297:K360" si="23">IF(F297="",E297,F297)</f>
        <v>이승현</v>
      </c>
      <c r="L297" s="16" t="str">
        <f t="shared" ref="L297:L360" si="24">TEXT(B297,"aaa")</f>
        <v>일</v>
      </c>
      <c r="M297" s="17" t="str">
        <f>IFERROR(VLOOKUP(B297,공휴일!B:C,2,0),"")</f>
        <v/>
      </c>
    </row>
    <row r="298" spans="2:13" x14ac:dyDescent="0.3">
      <c r="B298" s="142">
        <v>46517</v>
      </c>
      <c r="C298" s="143" t="s">
        <v>12</v>
      </c>
      <c r="D298" s="144"/>
      <c r="E298" s="143" t="s">
        <v>10</v>
      </c>
      <c r="F298" s="144"/>
      <c r="G298" s="147"/>
      <c r="H298" s="148" t="str">
        <f>IF(WORKDAY(B298-1,1,공휴일!$B$4:$B$24)=B298,IF(WORKDAY(B298,1,공휴일!$B$4:$B$24)&lt;&gt;B298+1,"금요일","평일"),IF(WORKDAY(B298,1,공휴일!$B$4:$B$24)&lt;&gt;B298+1,"토요일","일요일"))</f>
        <v>평일</v>
      </c>
      <c r="I298" s="125" t="str">
        <f t="shared" si="21"/>
        <v>2027-05</v>
      </c>
      <c r="J298" s="93" t="str">
        <f t="shared" si="22"/>
        <v>한문영</v>
      </c>
      <c r="K298" s="93" t="str">
        <f t="shared" si="23"/>
        <v>유진수</v>
      </c>
      <c r="L298" s="16" t="str">
        <f t="shared" si="24"/>
        <v>월</v>
      </c>
      <c r="M298" s="17" t="str">
        <f>IFERROR(VLOOKUP(B298,공휴일!B:C,2,0),"")</f>
        <v/>
      </c>
    </row>
    <row r="299" spans="2:13" x14ac:dyDescent="0.3">
      <c r="B299" s="142">
        <v>46518</v>
      </c>
      <c r="C299" s="143" t="s">
        <v>16</v>
      </c>
      <c r="D299" s="144"/>
      <c r="E299" s="143" t="s">
        <v>20</v>
      </c>
      <c r="F299" s="144"/>
      <c r="G299" s="147"/>
      <c r="H299" s="148" t="str">
        <f>IF(WORKDAY(B299-1,1,공휴일!$B$4:$B$24)=B299,IF(WORKDAY(B299,1,공휴일!$B$4:$B$24)&lt;&gt;B299+1,"금요일","평일"),IF(WORKDAY(B299,1,공휴일!$B$4:$B$24)&lt;&gt;B299+1,"토요일","일요일"))</f>
        <v>평일</v>
      </c>
      <c r="I299" s="125" t="str">
        <f t="shared" si="21"/>
        <v>2027-05</v>
      </c>
      <c r="J299" s="93" t="str">
        <f t="shared" si="22"/>
        <v>이현숙</v>
      </c>
      <c r="K299" s="93" t="str">
        <f t="shared" si="23"/>
        <v>이원철</v>
      </c>
      <c r="L299" s="16" t="str">
        <f t="shared" si="24"/>
        <v>화</v>
      </c>
      <c r="M299" s="17" t="str">
        <f>IFERROR(VLOOKUP(B299,공휴일!B:C,2,0),"")</f>
        <v/>
      </c>
    </row>
    <row r="300" spans="2:13" x14ac:dyDescent="0.3">
      <c r="B300" s="142">
        <v>46519</v>
      </c>
      <c r="C300" s="143" t="s">
        <v>13</v>
      </c>
      <c r="D300" s="144"/>
      <c r="E300" s="143" t="s">
        <v>21</v>
      </c>
      <c r="F300" s="144"/>
      <c r="G300" s="147"/>
      <c r="H300" s="148" t="str">
        <f>IF(WORKDAY(B300-1,1,공휴일!$B$4:$B$24)=B300,IF(WORKDAY(B300,1,공휴일!$B$4:$B$24)&lt;&gt;B300+1,"금요일","평일"),IF(WORKDAY(B300,1,공휴일!$B$4:$B$24)&lt;&gt;B300+1,"토요일","일요일"))</f>
        <v>평일</v>
      </c>
      <c r="I300" s="125" t="str">
        <f t="shared" si="21"/>
        <v>2027-05</v>
      </c>
      <c r="J300" s="93" t="str">
        <f t="shared" si="22"/>
        <v>안지영</v>
      </c>
      <c r="K300" s="93" t="str">
        <f t="shared" si="23"/>
        <v>정찬웅</v>
      </c>
      <c r="L300" s="16" t="str">
        <f t="shared" si="24"/>
        <v>수</v>
      </c>
      <c r="M300" s="17" t="str">
        <f>IFERROR(VLOOKUP(B300,공휴일!B:C,2,0),"")</f>
        <v/>
      </c>
    </row>
    <row r="301" spans="2:13" x14ac:dyDescent="0.3">
      <c r="B301" s="142">
        <v>46520</v>
      </c>
      <c r="C301" s="143" t="s">
        <v>41</v>
      </c>
      <c r="D301" s="144"/>
      <c r="E301" s="143" t="s">
        <v>22</v>
      </c>
      <c r="F301" s="144"/>
      <c r="G301" s="147"/>
      <c r="H301" s="148" t="str">
        <f>IF(WORKDAY(B301-1,1,공휴일!$B$4:$B$24)=B301,IF(WORKDAY(B301,1,공휴일!$B$4:$B$24)&lt;&gt;B301+1,"금요일","평일"),IF(WORKDAY(B301,1,공휴일!$B$4:$B$24)&lt;&gt;B301+1,"토요일","일요일"))</f>
        <v>평일</v>
      </c>
      <c r="I301" s="125" t="str">
        <f t="shared" si="21"/>
        <v>2027-05</v>
      </c>
      <c r="J301" s="93" t="str">
        <f t="shared" si="22"/>
        <v>송남철</v>
      </c>
      <c r="K301" s="93" t="str">
        <f t="shared" si="23"/>
        <v>서진호</v>
      </c>
      <c r="L301" s="16" t="str">
        <f t="shared" si="24"/>
        <v>목</v>
      </c>
      <c r="M301" s="17" t="str">
        <f>IFERROR(VLOOKUP(B301,공휴일!B:C,2,0),"")</f>
        <v/>
      </c>
    </row>
    <row r="302" spans="2:13" x14ac:dyDescent="0.3">
      <c r="B302" s="142">
        <v>46521</v>
      </c>
      <c r="C302" s="143" t="s">
        <v>17</v>
      </c>
      <c r="D302" s="144"/>
      <c r="E302" s="143" t="s">
        <v>11</v>
      </c>
      <c r="F302" s="144"/>
      <c r="G302" s="147"/>
      <c r="H302" s="148" t="str">
        <f>IF(WORKDAY(B302-1,1,공휴일!$B$4:$B$24)=B302,IF(WORKDAY(B302,1,공휴일!$B$4:$B$24)&lt;&gt;B302+1,"금요일","평일"),IF(WORKDAY(B302,1,공휴일!$B$4:$B$24)&lt;&gt;B302+1,"토요일","일요일"))</f>
        <v>금요일</v>
      </c>
      <c r="I302" s="125" t="str">
        <f t="shared" si="21"/>
        <v>2027-05</v>
      </c>
      <c r="J302" s="93" t="str">
        <f t="shared" si="22"/>
        <v>신혜원</v>
      </c>
      <c r="K302" s="93" t="str">
        <f t="shared" si="23"/>
        <v>장민우</v>
      </c>
      <c r="L302" s="16" t="str">
        <f t="shared" si="24"/>
        <v>금</v>
      </c>
      <c r="M302" s="17" t="str">
        <f>IFERROR(VLOOKUP(B302,공휴일!B:C,2,0),"")</f>
        <v/>
      </c>
    </row>
    <row r="303" spans="2:13" x14ac:dyDescent="0.3">
      <c r="B303" s="142">
        <v>46522</v>
      </c>
      <c r="C303" s="143" t="s">
        <v>40</v>
      </c>
      <c r="D303" s="144"/>
      <c r="E303" s="143" t="s">
        <v>19</v>
      </c>
      <c r="F303" s="144"/>
      <c r="G303" s="147"/>
      <c r="H303" s="148" t="str">
        <f>IF(WORKDAY(B303-1,1,공휴일!$B$4:$B$24)=B303,IF(WORKDAY(B303,1,공휴일!$B$4:$B$24)&lt;&gt;B303+1,"금요일","평일"),IF(WORKDAY(B303,1,공휴일!$B$4:$B$24)&lt;&gt;B303+1,"토요일","일요일"))</f>
        <v>토요일</v>
      </c>
      <c r="I303" s="125" t="str">
        <f t="shared" si="21"/>
        <v>2027-05</v>
      </c>
      <c r="J303" s="93" t="str">
        <f t="shared" si="22"/>
        <v>여철호</v>
      </c>
      <c r="K303" s="93" t="str">
        <f t="shared" si="23"/>
        <v>우정수</v>
      </c>
      <c r="L303" s="16" t="str">
        <f t="shared" si="24"/>
        <v>토</v>
      </c>
      <c r="M303" s="17" t="str">
        <f>IFERROR(VLOOKUP(B303,공휴일!B:C,2,0),"")</f>
        <v/>
      </c>
    </row>
    <row r="304" spans="2:13" x14ac:dyDescent="0.3">
      <c r="B304" s="142">
        <v>46523</v>
      </c>
      <c r="C304" s="143" t="s">
        <v>15</v>
      </c>
      <c r="D304" s="144"/>
      <c r="E304" s="143" t="s">
        <v>44</v>
      </c>
      <c r="F304" s="144"/>
      <c r="G304" s="147"/>
      <c r="H304" s="148" t="str">
        <f>IF(WORKDAY(B304-1,1,공휴일!$B$4:$B$24)=B304,IF(WORKDAY(B304,1,공휴일!$B$4:$B$24)&lt;&gt;B304+1,"금요일","평일"),IF(WORKDAY(B304,1,공휴일!$B$4:$B$24)&lt;&gt;B304+1,"토요일","일요일"))</f>
        <v>일요일</v>
      </c>
      <c r="I304" s="125" t="str">
        <f t="shared" si="21"/>
        <v>2027-05</v>
      </c>
      <c r="J304" s="93" t="str">
        <f t="shared" si="22"/>
        <v>구민아</v>
      </c>
      <c r="K304" s="93" t="str">
        <f t="shared" si="23"/>
        <v>오기희</v>
      </c>
      <c r="L304" s="16" t="str">
        <f t="shared" si="24"/>
        <v>일</v>
      </c>
      <c r="M304" s="17" t="str">
        <f>IFERROR(VLOOKUP(B304,공휴일!B:C,2,0),"")</f>
        <v/>
      </c>
    </row>
    <row r="305" spans="2:13" x14ac:dyDescent="0.3">
      <c r="B305" s="142">
        <v>46524</v>
      </c>
      <c r="C305" s="143" t="s">
        <v>14</v>
      </c>
      <c r="D305" s="144"/>
      <c r="E305" s="143" t="s">
        <v>18</v>
      </c>
      <c r="F305" s="144"/>
      <c r="G305" s="147"/>
      <c r="H305" s="148" t="str">
        <f>IF(WORKDAY(B305-1,1,공휴일!$B$4:$B$24)=B305,IF(WORKDAY(B305,1,공휴일!$B$4:$B$24)&lt;&gt;B305+1,"금요일","평일"),IF(WORKDAY(B305,1,공휴일!$B$4:$B$24)&lt;&gt;B305+1,"토요일","일요일"))</f>
        <v>평일</v>
      </c>
      <c r="I305" s="125" t="str">
        <f t="shared" si="21"/>
        <v>2027-05</v>
      </c>
      <c r="J305" s="93" t="str">
        <f t="shared" si="22"/>
        <v>고석규</v>
      </c>
      <c r="K305" s="93" t="str">
        <f t="shared" si="23"/>
        <v>이승현</v>
      </c>
      <c r="L305" s="16" t="str">
        <f t="shared" si="24"/>
        <v>월</v>
      </c>
      <c r="M305" s="17" t="str">
        <f>IFERROR(VLOOKUP(B305,공휴일!B:C,2,0),"")</f>
        <v/>
      </c>
    </row>
    <row r="306" spans="2:13" x14ac:dyDescent="0.3">
      <c r="B306" s="142">
        <v>46525</v>
      </c>
      <c r="C306" s="143" t="s">
        <v>12</v>
      </c>
      <c r="D306" s="144"/>
      <c r="E306" s="143" t="s">
        <v>10</v>
      </c>
      <c r="F306" s="144"/>
      <c r="G306" s="147"/>
      <c r="H306" s="148" t="str">
        <f>IF(WORKDAY(B306-1,1,공휴일!$B$4:$B$24)=B306,IF(WORKDAY(B306,1,공휴일!$B$4:$B$24)&lt;&gt;B306+1,"금요일","평일"),IF(WORKDAY(B306,1,공휴일!$B$4:$B$24)&lt;&gt;B306+1,"토요일","일요일"))</f>
        <v>평일</v>
      </c>
      <c r="I306" s="125" t="str">
        <f t="shared" si="21"/>
        <v>2027-05</v>
      </c>
      <c r="J306" s="93" t="str">
        <f t="shared" si="22"/>
        <v>한문영</v>
      </c>
      <c r="K306" s="93" t="str">
        <f t="shared" si="23"/>
        <v>유진수</v>
      </c>
      <c r="L306" s="16" t="str">
        <f t="shared" si="24"/>
        <v>화</v>
      </c>
      <c r="M306" s="17" t="str">
        <f>IFERROR(VLOOKUP(B306,공휴일!B:C,2,0),"")</f>
        <v/>
      </c>
    </row>
    <row r="307" spans="2:13" x14ac:dyDescent="0.3">
      <c r="B307" s="142">
        <v>46526</v>
      </c>
      <c r="C307" s="143" t="s">
        <v>16</v>
      </c>
      <c r="D307" s="144"/>
      <c r="E307" s="143" t="s">
        <v>20</v>
      </c>
      <c r="F307" s="144"/>
      <c r="G307" s="147"/>
      <c r="H307" s="148" t="str">
        <f>IF(WORKDAY(B307-1,1,공휴일!$B$4:$B$24)=B307,IF(WORKDAY(B307,1,공휴일!$B$4:$B$24)&lt;&gt;B307+1,"금요일","평일"),IF(WORKDAY(B307,1,공휴일!$B$4:$B$24)&lt;&gt;B307+1,"토요일","일요일"))</f>
        <v>평일</v>
      </c>
      <c r="I307" s="125" t="str">
        <f t="shared" si="21"/>
        <v>2027-05</v>
      </c>
      <c r="J307" s="93" t="str">
        <f t="shared" si="22"/>
        <v>이현숙</v>
      </c>
      <c r="K307" s="93" t="str">
        <f t="shared" si="23"/>
        <v>이원철</v>
      </c>
      <c r="L307" s="16" t="str">
        <f t="shared" si="24"/>
        <v>수</v>
      </c>
      <c r="M307" s="17" t="str">
        <f>IFERROR(VLOOKUP(B307,공휴일!B:C,2,0),"")</f>
        <v/>
      </c>
    </row>
    <row r="308" spans="2:13" x14ac:dyDescent="0.3">
      <c r="B308" s="142">
        <v>46527</v>
      </c>
      <c r="C308" s="143" t="s">
        <v>13</v>
      </c>
      <c r="D308" s="144"/>
      <c r="E308" s="143" t="s">
        <v>21</v>
      </c>
      <c r="F308" s="144"/>
      <c r="G308" s="147"/>
      <c r="H308" s="148" t="str">
        <f>IF(WORKDAY(B308-1,1,공휴일!$B$4:$B$24)=B308,IF(WORKDAY(B308,1,공휴일!$B$4:$B$24)&lt;&gt;B308+1,"금요일","평일"),IF(WORKDAY(B308,1,공휴일!$B$4:$B$24)&lt;&gt;B308+1,"토요일","일요일"))</f>
        <v>평일</v>
      </c>
      <c r="I308" s="125" t="str">
        <f t="shared" si="21"/>
        <v>2027-05</v>
      </c>
      <c r="J308" s="93" t="str">
        <f t="shared" si="22"/>
        <v>안지영</v>
      </c>
      <c r="K308" s="93" t="str">
        <f t="shared" si="23"/>
        <v>정찬웅</v>
      </c>
      <c r="L308" s="16" t="str">
        <f t="shared" si="24"/>
        <v>목</v>
      </c>
      <c r="M308" s="17" t="str">
        <f>IFERROR(VLOOKUP(B308,공휴일!B:C,2,0),"")</f>
        <v/>
      </c>
    </row>
    <row r="309" spans="2:13" x14ac:dyDescent="0.3">
      <c r="B309" s="142">
        <v>46528</v>
      </c>
      <c r="C309" s="143" t="s">
        <v>41</v>
      </c>
      <c r="D309" s="144"/>
      <c r="E309" s="143" t="s">
        <v>22</v>
      </c>
      <c r="F309" s="144"/>
      <c r="G309" s="147"/>
      <c r="H309" s="148" t="str">
        <f>IF(WORKDAY(B309-1,1,공휴일!$B$4:$B$24)=B309,IF(WORKDAY(B309,1,공휴일!$B$4:$B$24)&lt;&gt;B309+1,"금요일","평일"),IF(WORKDAY(B309,1,공휴일!$B$4:$B$24)&lt;&gt;B309+1,"토요일","일요일"))</f>
        <v>금요일</v>
      </c>
      <c r="I309" s="125" t="str">
        <f t="shared" si="21"/>
        <v>2027-05</v>
      </c>
      <c r="J309" s="93" t="str">
        <f t="shared" si="22"/>
        <v>송남철</v>
      </c>
      <c r="K309" s="93" t="str">
        <f t="shared" si="23"/>
        <v>서진호</v>
      </c>
      <c r="L309" s="16" t="str">
        <f t="shared" si="24"/>
        <v>금</v>
      </c>
      <c r="M309" s="17" t="str">
        <f>IFERROR(VLOOKUP(B309,공휴일!B:C,2,0),"")</f>
        <v/>
      </c>
    </row>
    <row r="310" spans="2:13" x14ac:dyDescent="0.3">
      <c r="B310" s="142">
        <v>46529</v>
      </c>
      <c r="C310" s="143" t="s">
        <v>17</v>
      </c>
      <c r="D310" s="144"/>
      <c r="E310" s="143" t="s">
        <v>11</v>
      </c>
      <c r="F310" s="144"/>
      <c r="G310" s="147"/>
      <c r="H310" s="148" t="str">
        <f>IF(WORKDAY(B310-1,1,공휴일!$B$4:$B$24)=B310,IF(WORKDAY(B310,1,공휴일!$B$4:$B$24)&lt;&gt;B310+1,"금요일","평일"),IF(WORKDAY(B310,1,공휴일!$B$4:$B$24)&lt;&gt;B310+1,"토요일","일요일"))</f>
        <v>토요일</v>
      </c>
      <c r="I310" s="125" t="str">
        <f t="shared" si="21"/>
        <v>2027-05</v>
      </c>
      <c r="J310" s="93" t="str">
        <f t="shared" si="22"/>
        <v>신혜원</v>
      </c>
      <c r="K310" s="93" t="str">
        <f t="shared" si="23"/>
        <v>장민우</v>
      </c>
      <c r="L310" s="16" t="str">
        <f t="shared" si="24"/>
        <v>토</v>
      </c>
      <c r="M310" s="17" t="str">
        <f>IFERROR(VLOOKUP(B310,공휴일!B:C,2,0),"")</f>
        <v/>
      </c>
    </row>
    <row r="311" spans="2:13" x14ac:dyDescent="0.3">
      <c r="B311" s="142">
        <v>46530</v>
      </c>
      <c r="C311" s="143" t="s">
        <v>40</v>
      </c>
      <c r="D311" s="144"/>
      <c r="E311" s="143" t="s">
        <v>19</v>
      </c>
      <c r="F311" s="144"/>
      <c r="G311" s="147"/>
      <c r="H311" s="148" t="str">
        <f>IF(WORKDAY(B311-1,1,공휴일!$B$4:$B$24)=B311,IF(WORKDAY(B311,1,공휴일!$B$4:$B$24)&lt;&gt;B311+1,"금요일","평일"),IF(WORKDAY(B311,1,공휴일!$B$4:$B$24)&lt;&gt;B311+1,"토요일","일요일"))</f>
        <v>일요일</v>
      </c>
      <c r="I311" s="125" t="str">
        <f t="shared" si="21"/>
        <v>2027-05</v>
      </c>
      <c r="J311" s="93" t="str">
        <f t="shared" si="22"/>
        <v>여철호</v>
      </c>
      <c r="K311" s="93" t="str">
        <f t="shared" si="23"/>
        <v>우정수</v>
      </c>
      <c r="L311" s="16" t="str">
        <f t="shared" si="24"/>
        <v>일</v>
      </c>
      <c r="M311" s="17" t="str">
        <f>IFERROR(VLOOKUP(B311,공휴일!B:C,2,0),"")</f>
        <v/>
      </c>
    </row>
    <row r="312" spans="2:13" x14ac:dyDescent="0.3">
      <c r="B312" s="142">
        <v>46531</v>
      </c>
      <c r="C312" s="143" t="s">
        <v>15</v>
      </c>
      <c r="D312" s="144"/>
      <c r="E312" s="143" t="s">
        <v>44</v>
      </c>
      <c r="F312" s="144"/>
      <c r="G312" s="147"/>
      <c r="H312" s="148" t="str">
        <f>IF(WORKDAY(B312-1,1,공휴일!$B$4:$B$24)=B312,IF(WORKDAY(B312,1,공휴일!$B$4:$B$24)&lt;&gt;B312+1,"금요일","평일"),IF(WORKDAY(B312,1,공휴일!$B$4:$B$24)&lt;&gt;B312+1,"토요일","일요일"))</f>
        <v>평일</v>
      </c>
      <c r="I312" s="125" t="str">
        <f t="shared" si="21"/>
        <v>2027-05</v>
      </c>
      <c r="J312" s="93" t="str">
        <f t="shared" si="22"/>
        <v>구민아</v>
      </c>
      <c r="K312" s="93" t="str">
        <f t="shared" si="23"/>
        <v>오기희</v>
      </c>
      <c r="L312" s="16" t="str">
        <f t="shared" si="24"/>
        <v>월</v>
      </c>
      <c r="M312" s="17" t="str">
        <f>IFERROR(VLOOKUP(B312,공휴일!B:C,2,0),"")</f>
        <v/>
      </c>
    </row>
    <row r="313" spans="2:13" x14ac:dyDescent="0.3">
      <c r="B313" s="142">
        <v>46532</v>
      </c>
      <c r="C313" s="143" t="s">
        <v>14</v>
      </c>
      <c r="D313" s="144"/>
      <c r="E313" s="143" t="s">
        <v>18</v>
      </c>
      <c r="F313" s="144"/>
      <c r="G313" s="147"/>
      <c r="H313" s="148" t="str">
        <f>IF(WORKDAY(B313-1,1,공휴일!$B$4:$B$24)=B313,IF(WORKDAY(B313,1,공휴일!$B$4:$B$24)&lt;&gt;B313+1,"금요일","평일"),IF(WORKDAY(B313,1,공휴일!$B$4:$B$24)&lt;&gt;B313+1,"토요일","일요일"))</f>
        <v>평일</v>
      </c>
      <c r="I313" s="125" t="str">
        <f t="shared" si="21"/>
        <v>2027-05</v>
      </c>
      <c r="J313" s="93" t="str">
        <f t="shared" si="22"/>
        <v>고석규</v>
      </c>
      <c r="K313" s="93" t="str">
        <f t="shared" si="23"/>
        <v>이승현</v>
      </c>
      <c r="L313" s="16" t="str">
        <f t="shared" si="24"/>
        <v>화</v>
      </c>
      <c r="M313" s="17" t="str">
        <f>IFERROR(VLOOKUP(B313,공휴일!B:C,2,0),"")</f>
        <v/>
      </c>
    </row>
    <row r="314" spans="2:13" x14ac:dyDescent="0.3">
      <c r="B314" s="142">
        <v>46533</v>
      </c>
      <c r="C314" s="143" t="s">
        <v>12</v>
      </c>
      <c r="D314" s="144"/>
      <c r="E314" s="143" t="s">
        <v>10</v>
      </c>
      <c r="F314" s="144"/>
      <c r="G314" s="147"/>
      <c r="H314" s="148" t="str">
        <f>IF(WORKDAY(B314-1,1,공휴일!$B$4:$B$24)=B314,IF(WORKDAY(B314,1,공휴일!$B$4:$B$24)&lt;&gt;B314+1,"금요일","평일"),IF(WORKDAY(B314,1,공휴일!$B$4:$B$24)&lt;&gt;B314+1,"토요일","일요일"))</f>
        <v>평일</v>
      </c>
      <c r="I314" s="125" t="str">
        <f t="shared" si="21"/>
        <v>2027-05</v>
      </c>
      <c r="J314" s="93" t="str">
        <f t="shared" si="22"/>
        <v>한문영</v>
      </c>
      <c r="K314" s="93" t="str">
        <f t="shared" si="23"/>
        <v>유진수</v>
      </c>
      <c r="L314" s="16" t="str">
        <f t="shared" si="24"/>
        <v>수</v>
      </c>
      <c r="M314" s="17" t="str">
        <f>IFERROR(VLOOKUP(B314,공휴일!B:C,2,0),"")</f>
        <v>부처님오신날</v>
      </c>
    </row>
    <row r="315" spans="2:13" x14ac:dyDescent="0.3">
      <c r="B315" s="142">
        <v>46534</v>
      </c>
      <c r="C315" s="143" t="s">
        <v>16</v>
      </c>
      <c r="D315" s="144"/>
      <c r="E315" s="143" t="s">
        <v>20</v>
      </c>
      <c r="F315" s="144"/>
      <c r="G315" s="147"/>
      <c r="H315" s="148" t="str">
        <f>IF(WORKDAY(B315-1,1,공휴일!$B$4:$B$24)=B315,IF(WORKDAY(B315,1,공휴일!$B$4:$B$24)&lt;&gt;B315+1,"금요일","평일"),IF(WORKDAY(B315,1,공휴일!$B$4:$B$24)&lt;&gt;B315+1,"토요일","일요일"))</f>
        <v>평일</v>
      </c>
      <c r="I315" s="125" t="str">
        <f t="shared" si="21"/>
        <v>2027-05</v>
      </c>
      <c r="J315" s="93" t="str">
        <f t="shared" si="22"/>
        <v>이현숙</v>
      </c>
      <c r="K315" s="93" t="str">
        <f t="shared" si="23"/>
        <v>이원철</v>
      </c>
      <c r="L315" s="16" t="str">
        <f t="shared" si="24"/>
        <v>목</v>
      </c>
      <c r="M315" s="17" t="str">
        <f>IFERROR(VLOOKUP(B315,공휴일!B:C,2,0),"")</f>
        <v/>
      </c>
    </row>
    <row r="316" spans="2:13" x14ac:dyDescent="0.3">
      <c r="B316" s="142">
        <v>46535</v>
      </c>
      <c r="C316" s="143" t="s">
        <v>13</v>
      </c>
      <c r="D316" s="144"/>
      <c r="E316" s="143" t="s">
        <v>21</v>
      </c>
      <c r="F316" s="144"/>
      <c r="G316" s="147"/>
      <c r="H316" s="148" t="str">
        <f>IF(WORKDAY(B316-1,1,공휴일!$B$4:$B$24)=B316,IF(WORKDAY(B316,1,공휴일!$B$4:$B$24)&lt;&gt;B316+1,"금요일","평일"),IF(WORKDAY(B316,1,공휴일!$B$4:$B$24)&lt;&gt;B316+1,"토요일","일요일"))</f>
        <v>금요일</v>
      </c>
      <c r="I316" s="125" t="str">
        <f t="shared" si="21"/>
        <v>2027-05</v>
      </c>
      <c r="J316" s="93" t="str">
        <f t="shared" si="22"/>
        <v>안지영</v>
      </c>
      <c r="K316" s="93" t="str">
        <f t="shared" si="23"/>
        <v>정찬웅</v>
      </c>
      <c r="L316" s="16" t="str">
        <f t="shared" si="24"/>
        <v>금</v>
      </c>
      <c r="M316" s="17" t="str">
        <f>IFERROR(VLOOKUP(B316,공휴일!B:C,2,0),"")</f>
        <v/>
      </c>
    </row>
    <row r="317" spans="2:13" x14ac:dyDescent="0.3">
      <c r="B317" s="142">
        <v>46536</v>
      </c>
      <c r="C317" s="143" t="s">
        <v>41</v>
      </c>
      <c r="D317" s="144"/>
      <c r="E317" s="143" t="s">
        <v>22</v>
      </c>
      <c r="F317" s="144"/>
      <c r="G317" s="147"/>
      <c r="H317" s="148" t="str">
        <f>IF(WORKDAY(B317-1,1,공휴일!$B$4:$B$24)=B317,IF(WORKDAY(B317,1,공휴일!$B$4:$B$24)&lt;&gt;B317+1,"금요일","평일"),IF(WORKDAY(B317,1,공휴일!$B$4:$B$24)&lt;&gt;B317+1,"토요일","일요일"))</f>
        <v>토요일</v>
      </c>
      <c r="I317" s="125" t="str">
        <f t="shared" si="21"/>
        <v>2027-05</v>
      </c>
      <c r="J317" s="93" t="str">
        <f t="shared" si="22"/>
        <v>송남철</v>
      </c>
      <c r="K317" s="93" t="str">
        <f t="shared" si="23"/>
        <v>서진호</v>
      </c>
      <c r="L317" s="16" t="str">
        <f t="shared" si="24"/>
        <v>토</v>
      </c>
      <c r="M317" s="17" t="str">
        <f>IFERROR(VLOOKUP(B317,공휴일!B:C,2,0),"")</f>
        <v/>
      </c>
    </row>
    <row r="318" spans="2:13" x14ac:dyDescent="0.3">
      <c r="B318" s="142">
        <v>46537</v>
      </c>
      <c r="C318" s="143" t="s">
        <v>17</v>
      </c>
      <c r="D318" s="144"/>
      <c r="E318" s="143" t="s">
        <v>11</v>
      </c>
      <c r="F318" s="144"/>
      <c r="G318" s="147"/>
      <c r="H318" s="148" t="str">
        <f>IF(WORKDAY(B318-1,1,공휴일!$B$4:$B$24)=B318,IF(WORKDAY(B318,1,공휴일!$B$4:$B$24)&lt;&gt;B318+1,"금요일","평일"),IF(WORKDAY(B318,1,공휴일!$B$4:$B$24)&lt;&gt;B318+1,"토요일","일요일"))</f>
        <v>일요일</v>
      </c>
      <c r="I318" s="125" t="str">
        <f t="shared" si="21"/>
        <v>2027-05</v>
      </c>
      <c r="J318" s="93" t="str">
        <f t="shared" si="22"/>
        <v>신혜원</v>
      </c>
      <c r="K318" s="93" t="str">
        <f t="shared" si="23"/>
        <v>장민우</v>
      </c>
      <c r="L318" s="16" t="str">
        <f t="shared" si="24"/>
        <v>일</v>
      </c>
      <c r="M318" s="17" t="str">
        <f>IFERROR(VLOOKUP(B318,공휴일!B:C,2,0),"")</f>
        <v/>
      </c>
    </row>
    <row r="319" spans="2:13" x14ac:dyDescent="0.3">
      <c r="B319" s="142">
        <v>46538</v>
      </c>
      <c r="C319" s="143" t="s">
        <v>40</v>
      </c>
      <c r="D319" s="144"/>
      <c r="E319" s="143" t="s">
        <v>19</v>
      </c>
      <c r="F319" s="144"/>
      <c r="G319" s="147"/>
      <c r="H319" s="148" t="str">
        <f>IF(WORKDAY(B319-1,1,공휴일!$B$4:$B$24)=B319,IF(WORKDAY(B319,1,공휴일!$B$4:$B$24)&lt;&gt;B319+1,"금요일","평일"),IF(WORKDAY(B319,1,공휴일!$B$4:$B$24)&lt;&gt;B319+1,"토요일","일요일"))</f>
        <v>평일</v>
      </c>
      <c r="I319" s="125" t="str">
        <f t="shared" si="21"/>
        <v>2027-05</v>
      </c>
      <c r="J319" s="93" t="str">
        <f t="shared" si="22"/>
        <v>여철호</v>
      </c>
      <c r="K319" s="93" t="str">
        <f t="shared" si="23"/>
        <v>우정수</v>
      </c>
      <c r="L319" s="16" t="str">
        <f t="shared" si="24"/>
        <v>월</v>
      </c>
      <c r="M319" s="17" t="str">
        <f>IFERROR(VLOOKUP(B319,공휴일!B:C,2,0),"")</f>
        <v/>
      </c>
    </row>
    <row r="320" spans="2:13" x14ac:dyDescent="0.3">
      <c r="B320" s="142">
        <v>46539</v>
      </c>
      <c r="C320" s="143" t="s">
        <v>15</v>
      </c>
      <c r="D320" s="144"/>
      <c r="E320" s="143" t="s">
        <v>44</v>
      </c>
      <c r="F320" s="144"/>
      <c r="G320" s="147"/>
      <c r="H320" s="148" t="str">
        <f>IF(WORKDAY(B320-1,1,공휴일!$B$4:$B$24)=B320,IF(WORKDAY(B320,1,공휴일!$B$4:$B$24)&lt;&gt;B320+1,"금요일","평일"),IF(WORKDAY(B320,1,공휴일!$B$4:$B$24)&lt;&gt;B320+1,"토요일","일요일"))</f>
        <v>평일</v>
      </c>
      <c r="I320" s="125" t="str">
        <f t="shared" si="21"/>
        <v>2027-06</v>
      </c>
      <c r="J320" s="93" t="str">
        <f t="shared" si="22"/>
        <v>구민아</v>
      </c>
      <c r="K320" s="93" t="str">
        <f t="shared" si="23"/>
        <v>오기희</v>
      </c>
      <c r="L320" s="16" t="str">
        <f t="shared" si="24"/>
        <v>화</v>
      </c>
      <c r="M320" s="17" t="str">
        <f>IFERROR(VLOOKUP(B320,공휴일!B:C,2,0),"")</f>
        <v/>
      </c>
    </row>
    <row r="321" spans="2:13" x14ac:dyDescent="0.3">
      <c r="B321" s="142">
        <v>46540</v>
      </c>
      <c r="C321" s="143" t="s">
        <v>14</v>
      </c>
      <c r="D321" s="144"/>
      <c r="E321" s="143" t="s">
        <v>18</v>
      </c>
      <c r="F321" s="144"/>
      <c r="G321" s="147"/>
      <c r="H321" s="148" t="str">
        <f>IF(WORKDAY(B321-1,1,공휴일!$B$4:$B$24)=B321,IF(WORKDAY(B321,1,공휴일!$B$4:$B$24)&lt;&gt;B321+1,"금요일","평일"),IF(WORKDAY(B321,1,공휴일!$B$4:$B$24)&lt;&gt;B321+1,"토요일","일요일"))</f>
        <v>평일</v>
      </c>
      <c r="I321" s="125" t="str">
        <f t="shared" si="21"/>
        <v>2027-06</v>
      </c>
      <c r="J321" s="93" t="str">
        <f t="shared" si="22"/>
        <v>고석규</v>
      </c>
      <c r="K321" s="93" t="str">
        <f t="shared" si="23"/>
        <v>이승현</v>
      </c>
      <c r="L321" s="16" t="str">
        <f t="shared" si="24"/>
        <v>수</v>
      </c>
      <c r="M321" s="17" t="str">
        <f>IFERROR(VLOOKUP(B321,공휴일!B:C,2,0),"")</f>
        <v/>
      </c>
    </row>
    <row r="322" spans="2:13" x14ac:dyDescent="0.3">
      <c r="B322" s="142">
        <v>46541</v>
      </c>
      <c r="C322" s="143" t="s">
        <v>12</v>
      </c>
      <c r="D322" s="144"/>
      <c r="E322" s="143" t="s">
        <v>10</v>
      </c>
      <c r="F322" s="144"/>
      <c r="G322" s="147"/>
      <c r="H322" s="148" t="str">
        <f>IF(WORKDAY(B322-1,1,공휴일!$B$4:$B$24)=B322,IF(WORKDAY(B322,1,공휴일!$B$4:$B$24)&lt;&gt;B322+1,"금요일","평일"),IF(WORKDAY(B322,1,공휴일!$B$4:$B$24)&lt;&gt;B322+1,"토요일","일요일"))</f>
        <v>평일</v>
      </c>
      <c r="I322" s="125" t="str">
        <f t="shared" si="21"/>
        <v>2027-06</v>
      </c>
      <c r="J322" s="93" t="str">
        <f t="shared" si="22"/>
        <v>한문영</v>
      </c>
      <c r="K322" s="93" t="str">
        <f t="shared" si="23"/>
        <v>유진수</v>
      </c>
      <c r="L322" s="16" t="str">
        <f t="shared" si="24"/>
        <v>목</v>
      </c>
      <c r="M322" s="17" t="str">
        <f>IFERROR(VLOOKUP(B322,공휴일!B:C,2,0),"")</f>
        <v/>
      </c>
    </row>
    <row r="323" spans="2:13" x14ac:dyDescent="0.3">
      <c r="B323" s="142">
        <v>46542</v>
      </c>
      <c r="C323" s="143" t="s">
        <v>16</v>
      </c>
      <c r="D323" s="144"/>
      <c r="E323" s="143" t="s">
        <v>20</v>
      </c>
      <c r="F323" s="144"/>
      <c r="G323" s="147"/>
      <c r="H323" s="148" t="str">
        <f>IF(WORKDAY(B323-1,1,공휴일!$B$4:$B$24)=B323,IF(WORKDAY(B323,1,공휴일!$B$4:$B$24)&lt;&gt;B323+1,"금요일","평일"),IF(WORKDAY(B323,1,공휴일!$B$4:$B$24)&lt;&gt;B323+1,"토요일","일요일"))</f>
        <v>금요일</v>
      </c>
      <c r="I323" s="125" t="str">
        <f t="shared" si="21"/>
        <v>2027-06</v>
      </c>
      <c r="J323" s="93" t="str">
        <f t="shared" si="22"/>
        <v>이현숙</v>
      </c>
      <c r="K323" s="93" t="str">
        <f t="shared" si="23"/>
        <v>이원철</v>
      </c>
      <c r="L323" s="16" t="str">
        <f t="shared" si="24"/>
        <v>금</v>
      </c>
      <c r="M323" s="17" t="str">
        <f>IFERROR(VLOOKUP(B323,공휴일!B:C,2,0),"")</f>
        <v/>
      </c>
    </row>
    <row r="324" spans="2:13" x14ac:dyDescent="0.3">
      <c r="B324" s="142">
        <v>46543</v>
      </c>
      <c r="C324" s="143" t="s">
        <v>13</v>
      </c>
      <c r="D324" s="144"/>
      <c r="E324" s="143" t="s">
        <v>21</v>
      </c>
      <c r="F324" s="144"/>
      <c r="G324" s="147"/>
      <c r="H324" s="148" t="str">
        <f>IF(WORKDAY(B324-1,1,공휴일!$B$4:$B$24)=B324,IF(WORKDAY(B324,1,공휴일!$B$4:$B$24)&lt;&gt;B324+1,"금요일","평일"),IF(WORKDAY(B324,1,공휴일!$B$4:$B$24)&lt;&gt;B324+1,"토요일","일요일"))</f>
        <v>토요일</v>
      </c>
      <c r="I324" s="125" t="str">
        <f t="shared" si="21"/>
        <v>2027-06</v>
      </c>
      <c r="J324" s="93" t="str">
        <f t="shared" si="22"/>
        <v>안지영</v>
      </c>
      <c r="K324" s="93" t="str">
        <f t="shared" si="23"/>
        <v>정찬웅</v>
      </c>
      <c r="L324" s="16" t="str">
        <f t="shared" si="24"/>
        <v>토</v>
      </c>
      <c r="M324" s="17" t="str">
        <f>IFERROR(VLOOKUP(B324,공휴일!B:C,2,0),"")</f>
        <v/>
      </c>
    </row>
    <row r="325" spans="2:13" x14ac:dyDescent="0.3">
      <c r="B325" s="142">
        <v>46544</v>
      </c>
      <c r="C325" s="143" t="s">
        <v>41</v>
      </c>
      <c r="D325" s="144"/>
      <c r="E325" s="143" t="s">
        <v>22</v>
      </c>
      <c r="F325" s="144"/>
      <c r="G325" s="147"/>
      <c r="H325" s="148" t="str">
        <f>IF(WORKDAY(B325-1,1,공휴일!$B$4:$B$24)=B325,IF(WORKDAY(B325,1,공휴일!$B$4:$B$24)&lt;&gt;B325+1,"금요일","평일"),IF(WORKDAY(B325,1,공휴일!$B$4:$B$24)&lt;&gt;B325+1,"토요일","일요일"))</f>
        <v>일요일</v>
      </c>
      <c r="I325" s="125" t="str">
        <f t="shared" si="21"/>
        <v>2027-06</v>
      </c>
      <c r="J325" s="93" t="str">
        <f t="shared" si="22"/>
        <v>송남철</v>
      </c>
      <c r="K325" s="93" t="str">
        <f t="shared" si="23"/>
        <v>서진호</v>
      </c>
      <c r="L325" s="16" t="str">
        <f t="shared" si="24"/>
        <v>일</v>
      </c>
      <c r="M325" s="17" t="str">
        <f>IFERROR(VLOOKUP(B325,공휴일!B:C,2,0),"")</f>
        <v>현충일</v>
      </c>
    </row>
    <row r="326" spans="2:13" x14ac:dyDescent="0.3">
      <c r="B326" s="142">
        <v>46545</v>
      </c>
      <c r="C326" s="143" t="s">
        <v>17</v>
      </c>
      <c r="D326" s="144"/>
      <c r="E326" s="143" t="s">
        <v>11</v>
      </c>
      <c r="F326" s="144"/>
      <c r="G326" s="147"/>
      <c r="H326" s="148" t="str">
        <f>IF(WORKDAY(B326-1,1,공휴일!$B$4:$B$24)=B326,IF(WORKDAY(B326,1,공휴일!$B$4:$B$24)&lt;&gt;B326+1,"금요일","평일"),IF(WORKDAY(B326,1,공휴일!$B$4:$B$24)&lt;&gt;B326+1,"토요일","일요일"))</f>
        <v>평일</v>
      </c>
      <c r="I326" s="125" t="str">
        <f t="shared" ref="I326:I389" si="25">TEXT(B326,"yyyy-mm")</f>
        <v>2027-06</v>
      </c>
      <c r="J326" s="93" t="str">
        <f t="shared" si="22"/>
        <v>신혜원</v>
      </c>
      <c r="K326" s="93" t="str">
        <f t="shared" si="23"/>
        <v>장민우</v>
      </c>
      <c r="L326" s="16" t="str">
        <f t="shared" si="24"/>
        <v>월</v>
      </c>
      <c r="M326" s="17" t="str">
        <f>IFERROR(VLOOKUP(B326,공휴일!B:C,2,0),"")</f>
        <v>대체공휴일</v>
      </c>
    </row>
    <row r="327" spans="2:13" x14ac:dyDescent="0.3">
      <c r="B327" s="142">
        <v>46546</v>
      </c>
      <c r="C327" s="143" t="s">
        <v>40</v>
      </c>
      <c r="D327" s="144"/>
      <c r="E327" s="143" t="s">
        <v>19</v>
      </c>
      <c r="F327" s="144"/>
      <c r="G327" s="147"/>
      <c r="H327" s="148" t="str">
        <f>IF(WORKDAY(B327-1,1,공휴일!$B$4:$B$24)=B327,IF(WORKDAY(B327,1,공휴일!$B$4:$B$24)&lt;&gt;B327+1,"금요일","평일"),IF(WORKDAY(B327,1,공휴일!$B$4:$B$24)&lt;&gt;B327+1,"토요일","일요일"))</f>
        <v>평일</v>
      </c>
      <c r="I327" s="125" t="str">
        <f t="shared" si="25"/>
        <v>2027-06</v>
      </c>
      <c r="J327" s="93" t="str">
        <f t="shared" si="22"/>
        <v>여철호</v>
      </c>
      <c r="K327" s="93" t="str">
        <f t="shared" si="23"/>
        <v>우정수</v>
      </c>
      <c r="L327" s="16" t="str">
        <f t="shared" si="24"/>
        <v>화</v>
      </c>
      <c r="M327" s="17" t="str">
        <f>IFERROR(VLOOKUP(B327,공휴일!B:C,2,0),"")</f>
        <v/>
      </c>
    </row>
    <row r="328" spans="2:13" x14ac:dyDescent="0.3">
      <c r="B328" s="142">
        <v>46547</v>
      </c>
      <c r="C328" s="143" t="s">
        <v>15</v>
      </c>
      <c r="D328" s="144"/>
      <c r="E328" s="143" t="s">
        <v>44</v>
      </c>
      <c r="F328" s="144"/>
      <c r="G328" s="147"/>
      <c r="H328" s="148" t="str">
        <f>IF(WORKDAY(B328-1,1,공휴일!$B$4:$B$24)=B328,IF(WORKDAY(B328,1,공휴일!$B$4:$B$24)&lt;&gt;B328+1,"금요일","평일"),IF(WORKDAY(B328,1,공휴일!$B$4:$B$24)&lt;&gt;B328+1,"토요일","일요일"))</f>
        <v>평일</v>
      </c>
      <c r="I328" s="125" t="str">
        <f t="shared" si="25"/>
        <v>2027-06</v>
      </c>
      <c r="J328" s="93" t="str">
        <f t="shared" si="22"/>
        <v>구민아</v>
      </c>
      <c r="K328" s="93" t="str">
        <f t="shared" si="23"/>
        <v>오기희</v>
      </c>
      <c r="L328" s="16" t="str">
        <f t="shared" si="24"/>
        <v>수</v>
      </c>
      <c r="M328" s="17" t="str">
        <f>IFERROR(VLOOKUP(B328,공휴일!B:C,2,0),"")</f>
        <v/>
      </c>
    </row>
    <row r="329" spans="2:13" x14ac:dyDescent="0.3">
      <c r="B329" s="142">
        <v>46548</v>
      </c>
      <c r="C329" s="143" t="s">
        <v>14</v>
      </c>
      <c r="D329" s="144"/>
      <c r="E329" s="143" t="s">
        <v>18</v>
      </c>
      <c r="F329" s="144"/>
      <c r="G329" s="147"/>
      <c r="H329" s="148" t="str">
        <f>IF(WORKDAY(B329-1,1,공휴일!$B$4:$B$24)=B329,IF(WORKDAY(B329,1,공휴일!$B$4:$B$24)&lt;&gt;B329+1,"금요일","평일"),IF(WORKDAY(B329,1,공휴일!$B$4:$B$24)&lt;&gt;B329+1,"토요일","일요일"))</f>
        <v>평일</v>
      </c>
      <c r="I329" s="125" t="str">
        <f t="shared" si="25"/>
        <v>2027-06</v>
      </c>
      <c r="J329" s="93" t="str">
        <f t="shared" si="22"/>
        <v>고석규</v>
      </c>
      <c r="K329" s="93" t="str">
        <f t="shared" si="23"/>
        <v>이승현</v>
      </c>
      <c r="L329" s="16" t="str">
        <f t="shared" si="24"/>
        <v>목</v>
      </c>
      <c r="M329" s="17" t="str">
        <f>IFERROR(VLOOKUP(B329,공휴일!B:C,2,0),"")</f>
        <v/>
      </c>
    </row>
    <row r="330" spans="2:13" x14ac:dyDescent="0.3">
      <c r="B330" s="142">
        <v>46549</v>
      </c>
      <c r="C330" s="143" t="s">
        <v>12</v>
      </c>
      <c r="D330" s="144"/>
      <c r="E330" s="143" t="s">
        <v>10</v>
      </c>
      <c r="F330" s="144"/>
      <c r="G330" s="147"/>
      <c r="H330" s="148" t="str">
        <f>IF(WORKDAY(B330-1,1,공휴일!$B$4:$B$24)=B330,IF(WORKDAY(B330,1,공휴일!$B$4:$B$24)&lt;&gt;B330+1,"금요일","평일"),IF(WORKDAY(B330,1,공휴일!$B$4:$B$24)&lt;&gt;B330+1,"토요일","일요일"))</f>
        <v>금요일</v>
      </c>
      <c r="I330" s="125" t="str">
        <f t="shared" si="25"/>
        <v>2027-06</v>
      </c>
      <c r="J330" s="93" t="str">
        <f t="shared" si="22"/>
        <v>한문영</v>
      </c>
      <c r="K330" s="93" t="str">
        <f t="shared" si="23"/>
        <v>유진수</v>
      </c>
      <c r="L330" s="16" t="str">
        <f t="shared" si="24"/>
        <v>금</v>
      </c>
      <c r="M330" s="17" t="str">
        <f>IFERROR(VLOOKUP(B330,공휴일!B:C,2,0),"")</f>
        <v/>
      </c>
    </row>
    <row r="331" spans="2:13" x14ac:dyDescent="0.3">
      <c r="B331" s="142">
        <v>46550</v>
      </c>
      <c r="C331" s="143" t="s">
        <v>16</v>
      </c>
      <c r="D331" s="144"/>
      <c r="E331" s="143" t="s">
        <v>20</v>
      </c>
      <c r="F331" s="144"/>
      <c r="G331" s="147"/>
      <c r="H331" s="148" t="str">
        <f>IF(WORKDAY(B331-1,1,공휴일!$B$4:$B$24)=B331,IF(WORKDAY(B331,1,공휴일!$B$4:$B$24)&lt;&gt;B331+1,"금요일","평일"),IF(WORKDAY(B331,1,공휴일!$B$4:$B$24)&lt;&gt;B331+1,"토요일","일요일"))</f>
        <v>토요일</v>
      </c>
      <c r="I331" s="125" t="str">
        <f t="shared" si="25"/>
        <v>2027-06</v>
      </c>
      <c r="J331" s="93" t="str">
        <f t="shared" si="22"/>
        <v>이현숙</v>
      </c>
      <c r="K331" s="93" t="str">
        <f t="shared" si="23"/>
        <v>이원철</v>
      </c>
      <c r="L331" s="16" t="str">
        <f t="shared" si="24"/>
        <v>토</v>
      </c>
      <c r="M331" s="17" t="str">
        <f>IFERROR(VLOOKUP(B331,공휴일!B:C,2,0),"")</f>
        <v/>
      </c>
    </row>
    <row r="332" spans="2:13" x14ac:dyDescent="0.3">
      <c r="B332" s="142">
        <v>46551</v>
      </c>
      <c r="C332" s="143" t="s">
        <v>13</v>
      </c>
      <c r="D332" s="144"/>
      <c r="E332" s="143" t="s">
        <v>21</v>
      </c>
      <c r="F332" s="144"/>
      <c r="G332" s="147"/>
      <c r="H332" s="148" t="str">
        <f>IF(WORKDAY(B332-1,1,공휴일!$B$4:$B$24)=B332,IF(WORKDAY(B332,1,공휴일!$B$4:$B$24)&lt;&gt;B332+1,"금요일","평일"),IF(WORKDAY(B332,1,공휴일!$B$4:$B$24)&lt;&gt;B332+1,"토요일","일요일"))</f>
        <v>일요일</v>
      </c>
      <c r="I332" s="125" t="str">
        <f t="shared" si="25"/>
        <v>2027-06</v>
      </c>
      <c r="J332" s="93" t="str">
        <f t="shared" si="22"/>
        <v>안지영</v>
      </c>
      <c r="K332" s="93" t="str">
        <f t="shared" si="23"/>
        <v>정찬웅</v>
      </c>
      <c r="L332" s="16" t="str">
        <f t="shared" si="24"/>
        <v>일</v>
      </c>
      <c r="M332" s="17" t="str">
        <f>IFERROR(VLOOKUP(B332,공휴일!B:C,2,0),"")</f>
        <v/>
      </c>
    </row>
    <row r="333" spans="2:13" x14ac:dyDescent="0.3">
      <c r="B333" s="142">
        <v>46552</v>
      </c>
      <c r="C333" s="143" t="s">
        <v>41</v>
      </c>
      <c r="D333" s="144"/>
      <c r="E333" s="143" t="s">
        <v>22</v>
      </c>
      <c r="F333" s="144"/>
      <c r="G333" s="147"/>
      <c r="H333" s="148" t="str">
        <f>IF(WORKDAY(B333-1,1,공휴일!$B$4:$B$24)=B333,IF(WORKDAY(B333,1,공휴일!$B$4:$B$24)&lt;&gt;B333+1,"금요일","평일"),IF(WORKDAY(B333,1,공휴일!$B$4:$B$24)&lt;&gt;B333+1,"토요일","일요일"))</f>
        <v>평일</v>
      </c>
      <c r="I333" s="125" t="str">
        <f t="shared" si="25"/>
        <v>2027-06</v>
      </c>
      <c r="J333" s="93" t="str">
        <f t="shared" si="22"/>
        <v>송남철</v>
      </c>
      <c r="K333" s="93" t="str">
        <f t="shared" si="23"/>
        <v>서진호</v>
      </c>
      <c r="L333" s="16" t="str">
        <f t="shared" si="24"/>
        <v>월</v>
      </c>
      <c r="M333" s="17" t="str">
        <f>IFERROR(VLOOKUP(B333,공휴일!B:C,2,0),"")</f>
        <v/>
      </c>
    </row>
    <row r="334" spans="2:13" x14ac:dyDescent="0.3">
      <c r="B334" s="142">
        <v>46553</v>
      </c>
      <c r="C334" s="143" t="s">
        <v>17</v>
      </c>
      <c r="D334" s="144"/>
      <c r="E334" s="143" t="s">
        <v>11</v>
      </c>
      <c r="F334" s="144"/>
      <c r="G334" s="147"/>
      <c r="H334" s="148" t="str">
        <f>IF(WORKDAY(B334-1,1,공휴일!$B$4:$B$24)=B334,IF(WORKDAY(B334,1,공휴일!$B$4:$B$24)&lt;&gt;B334+1,"금요일","평일"),IF(WORKDAY(B334,1,공휴일!$B$4:$B$24)&lt;&gt;B334+1,"토요일","일요일"))</f>
        <v>평일</v>
      </c>
      <c r="I334" s="125" t="str">
        <f t="shared" si="25"/>
        <v>2027-06</v>
      </c>
      <c r="J334" s="93" t="str">
        <f t="shared" si="22"/>
        <v>신혜원</v>
      </c>
      <c r="K334" s="93" t="str">
        <f t="shared" si="23"/>
        <v>장민우</v>
      </c>
      <c r="L334" s="16" t="str">
        <f t="shared" si="24"/>
        <v>화</v>
      </c>
      <c r="M334" s="17" t="str">
        <f>IFERROR(VLOOKUP(B334,공휴일!B:C,2,0),"")</f>
        <v/>
      </c>
    </row>
    <row r="335" spans="2:13" x14ac:dyDescent="0.3">
      <c r="B335" s="142">
        <v>46554</v>
      </c>
      <c r="C335" s="143" t="s">
        <v>40</v>
      </c>
      <c r="D335" s="144"/>
      <c r="E335" s="143" t="s">
        <v>19</v>
      </c>
      <c r="F335" s="144"/>
      <c r="G335" s="147"/>
      <c r="H335" s="148" t="str">
        <f>IF(WORKDAY(B335-1,1,공휴일!$B$4:$B$24)=B335,IF(WORKDAY(B335,1,공휴일!$B$4:$B$24)&lt;&gt;B335+1,"금요일","평일"),IF(WORKDAY(B335,1,공휴일!$B$4:$B$24)&lt;&gt;B335+1,"토요일","일요일"))</f>
        <v>평일</v>
      </c>
      <c r="I335" s="125" t="str">
        <f t="shared" si="25"/>
        <v>2027-06</v>
      </c>
      <c r="J335" s="93" t="str">
        <f t="shared" si="22"/>
        <v>여철호</v>
      </c>
      <c r="K335" s="93" t="str">
        <f t="shared" si="23"/>
        <v>우정수</v>
      </c>
      <c r="L335" s="16" t="str">
        <f t="shared" si="24"/>
        <v>수</v>
      </c>
      <c r="M335" s="17" t="str">
        <f>IFERROR(VLOOKUP(B335,공휴일!B:C,2,0),"")</f>
        <v/>
      </c>
    </row>
    <row r="336" spans="2:13" x14ac:dyDescent="0.3">
      <c r="B336" s="142">
        <v>46555</v>
      </c>
      <c r="C336" s="143" t="s">
        <v>15</v>
      </c>
      <c r="D336" s="144"/>
      <c r="E336" s="143" t="s">
        <v>44</v>
      </c>
      <c r="F336" s="144"/>
      <c r="G336" s="147"/>
      <c r="H336" s="148" t="str">
        <f>IF(WORKDAY(B336-1,1,공휴일!$B$4:$B$24)=B336,IF(WORKDAY(B336,1,공휴일!$B$4:$B$24)&lt;&gt;B336+1,"금요일","평일"),IF(WORKDAY(B336,1,공휴일!$B$4:$B$24)&lt;&gt;B336+1,"토요일","일요일"))</f>
        <v>평일</v>
      </c>
      <c r="I336" s="125" t="str">
        <f t="shared" si="25"/>
        <v>2027-06</v>
      </c>
      <c r="J336" s="93" t="str">
        <f t="shared" si="22"/>
        <v>구민아</v>
      </c>
      <c r="K336" s="93" t="str">
        <f t="shared" si="23"/>
        <v>오기희</v>
      </c>
      <c r="L336" s="16" t="str">
        <f t="shared" si="24"/>
        <v>목</v>
      </c>
      <c r="M336" s="17" t="str">
        <f>IFERROR(VLOOKUP(B336,공휴일!B:C,2,0),"")</f>
        <v/>
      </c>
    </row>
    <row r="337" spans="2:13" x14ac:dyDescent="0.3">
      <c r="B337" s="142">
        <v>46556</v>
      </c>
      <c r="C337" s="143" t="s">
        <v>14</v>
      </c>
      <c r="D337" s="144"/>
      <c r="E337" s="143" t="s">
        <v>18</v>
      </c>
      <c r="F337" s="144"/>
      <c r="G337" s="147"/>
      <c r="H337" s="148" t="str">
        <f>IF(WORKDAY(B337-1,1,공휴일!$B$4:$B$24)=B337,IF(WORKDAY(B337,1,공휴일!$B$4:$B$24)&lt;&gt;B337+1,"금요일","평일"),IF(WORKDAY(B337,1,공휴일!$B$4:$B$24)&lt;&gt;B337+1,"토요일","일요일"))</f>
        <v>금요일</v>
      </c>
      <c r="I337" s="125" t="str">
        <f t="shared" si="25"/>
        <v>2027-06</v>
      </c>
      <c r="J337" s="93" t="str">
        <f t="shared" si="22"/>
        <v>고석규</v>
      </c>
      <c r="K337" s="93" t="str">
        <f t="shared" si="23"/>
        <v>이승현</v>
      </c>
      <c r="L337" s="16" t="str">
        <f t="shared" si="24"/>
        <v>금</v>
      </c>
      <c r="M337" s="17" t="str">
        <f>IFERROR(VLOOKUP(B337,공휴일!B:C,2,0),"")</f>
        <v/>
      </c>
    </row>
    <row r="338" spans="2:13" x14ac:dyDescent="0.3">
      <c r="B338" s="142">
        <v>46557</v>
      </c>
      <c r="C338" s="143" t="s">
        <v>12</v>
      </c>
      <c r="D338" s="144"/>
      <c r="E338" s="143" t="s">
        <v>10</v>
      </c>
      <c r="F338" s="144"/>
      <c r="G338" s="147"/>
      <c r="H338" s="148" t="str">
        <f>IF(WORKDAY(B338-1,1,공휴일!$B$4:$B$24)=B338,IF(WORKDAY(B338,1,공휴일!$B$4:$B$24)&lt;&gt;B338+1,"금요일","평일"),IF(WORKDAY(B338,1,공휴일!$B$4:$B$24)&lt;&gt;B338+1,"토요일","일요일"))</f>
        <v>토요일</v>
      </c>
      <c r="I338" s="125" t="str">
        <f t="shared" si="25"/>
        <v>2027-06</v>
      </c>
      <c r="J338" s="93" t="str">
        <f t="shared" si="22"/>
        <v>한문영</v>
      </c>
      <c r="K338" s="93" t="str">
        <f t="shared" si="23"/>
        <v>유진수</v>
      </c>
      <c r="L338" s="16" t="str">
        <f t="shared" si="24"/>
        <v>토</v>
      </c>
      <c r="M338" s="17" t="str">
        <f>IFERROR(VLOOKUP(B338,공휴일!B:C,2,0),"")</f>
        <v/>
      </c>
    </row>
    <row r="339" spans="2:13" x14ac:dyDescent="0.3">
      <c r="B339" s="142">
        <v>46558</v>
      </c>
      <c r="C339" s="143" t="s">
        <v>16</v>
      </c>
      <c r="D339" s="144"/>
      <c r="E339" s="143" t="s">
        <v>20</v>
      </c>
      <c r="F339" s="144"/>
      <c r="G339" s="147"/>
      <c r="H339" s="148" t="str">
        <f>IF(WORKDAY(B339-1,1,공휴일!$B$4:$B$24)=B339,IF(WORKDAY(B339,1,공휴일!$B$4:$B$24)&lt;&gt;B339+1,"금요일","평일"),IF(WORKDAY(B339,1,공휴일!$B$4:$B$24)&lt;&gt;B339+1,"토요일","일요일"))</f>
        <v>일요일</v>
      </c>
      <c r="I339" s="125" t="str">
        <f t="shared" si="25"/>
        <v>2027-06</v>
      </c>
      <c r="J339" s="93" t="str">
        <f t="shared" si="22"/>
        <v>이현숙</v>
      </c>
      <c r="K339" s="93" t="str">
        <f t="shared" si="23"/>
        <v>이원철</v>
      </c>
      <c r="L339" s="16" t="str">
        <f t="shared" si="24"/>
        <v>일</v>
      </c>
      <c r="M339" s="17" t="str">
        <f>IFERROR(VLOOKUP(B339,공휴일!B:C,2,0),"")</f>
        <v/>
      </c>
    </row>
    <row r="340" spans="2:13" x14ac:dyDescent="0.3">
      <c r="B340" s="142">
        <v>46559</v>
      </c>
      <c r="C340" s="143" t="s">
        <v>13</v>
      </c>
      <c r="D340" s="144"/>
      <c r="E340" s="143" t="s">
        <v>21</v>
      </c>
      <c r="F340" s="144"/>
      <c r="G340" s="147"/>
      <c r="H340" s="148" t="str">
        <f>IF(WORKDAY(B340-1,1,공휴일!$B$4:$B$24)=B340,IF(WORKDAY(B340,1,공휴일!$B$4:$B$24)&lt;&gt;B340+1,"금요일","평일"),IF(WORKDAY(B340,1,공휴일!$B$4:$B$24)&lt;&gt;B340+1,"토요일","일요일"))</f>
        <v>평일</v>
      </c>
      <c r="I340" s="125" t="str">
        <f t="shared" si="25"/>
        <v>2027-06</v>
      </c>
      <c r="J340" s="93" t="str">
        <f t="shared" si="22"/>
        <v>안지영</v>
      </c>
      <c r="K340" s="93" t="str">
        <f t="shared" si="23"/>
        <v>정찬웅</v>
      </c>
      <c r="L340" s="16" t="str">
        <f t="shared" si="24"/>
        <v>월</v>
      </c>
      <c r="M340" s="17" t="str">
        <f>IFERROR(VLOOKUP(B340,공휴일!B:C,2,0),"")</f>
        <v/>
      </c>
    </row>
    <row r="341" spans="2:13" x14ac:dyDescent="0.3">
      <c r="B341" s="142">
        <v>46560</v>
      </c>
      <c r="C341" s="143" t="s">
        <v>41</v>
      </c>
      <c r="D341" s="144"/>
      <c r="E341" s="143" t="s">
        <v>22</v>
      </c>
      <c r="F341" s="144"/>
      <c r="G341" s="147"/>
      <c r="H341" s="148" t="str">
        <f>IF(WORKDAY(B341-1,1,공휴일!$B$4:$B$24)=B341,IF(WORKDAY(B341,1,공휴일!$B$4:$B$24)&lt;&gt;B341+1,"금요일","평일"),IF(WORKDAY(B341,1,공휴일!$B$4:$B$24)&lt;&gt;B341+1,"토요일","일요일"))</f>
        <v>평일</v>
      </c>
      <c r="I341" s="125" t="str">
        <f t="shared" si="25"/>
        <v>2027-06</v>
      </c>
      <c r="J341" s="93" t="str">
        <f t="shared" si="22"/>
        <v>송남철</v>
      </c>
      <c r="K341" s="93" t="str">
        <f t="shared" si="23"/>
        <v>서진호</v>
      </c>
      <c r="L341" s="16" t="str">
        <f t="shared" si="24"/>
        <v>화</v>
      </c>
      <c r="M341" s="17" t="str">
        <f>IFERROR(VLOOKUP(B341,공휴일!B:C,2,0),"")</f>
        <v/>
      </c>
    </row>
    <row r="342" spans="2:13" x14ac:dyDescent="0.3">
      <c r="B342" s="142">
        <v>46561</v>
      </c>
      <c r="C342" s="143" t="s">
        <v>17</v>
      </c>
      <c r="D342" s="144"/>
      <c r="E342" s="143" t="s">
        <v>11</v>
      </c>
      <c r="F342" s="144"/>
      <c r="G342" s="147"/>
      <c r="H342" s="148" t="str">
        <f>IF(WORKDAY(B342-1,1,공휴일!$B$4:$B$24)=B342,IF(WORKDAY(B342,1,공휴일!$B$4:$B$24)&lt;&gt;B342+1,"금요일","평일"),IF(WORKDAY(B342,1,공휴일!$B$4:$B$24)&lt;&gt;B342+1,"토요일","일요일"))</f>
        <v>평일</v>
      </c>
      <c r="I342" s="125" t="str">
        <f t="shared" si="25"/>
        <v>2027-06</v>
      </c>
      <c r="J342" s="93" t="str">
        <f t="shared" si="22"/>
        <v>신혜원</v>
      </c>
      <c r="K342" s="93" t="str">
        <f t="shared" si="23"/>
        <v>장민우</v>
      </c>
      <c r="L342" s="16" t="str">
        <f t="shared" si="24"/>
        <v>수</v>
      </c>
      <c r="M342" s="17" t="str">
        <f>IFERROR(VLOOKUP(B342,공휴일!B:C,2,0),"")</f>
        <v/>
      </c>
    </row>
    <row r="343" spans="2:13" x14ac:dyDescent="0.3">
      <c r="B343" s="142">
        <v>46562</v>
      </c>
      <c r="C343" s="143" t="s">
        <v>40</v>
      </c>
      <c r="D343" s="144"/>
      <c r="E343" s="143" t="s">
        <v>19</v>
      </c>
      <c r="F343" s="144"/>
      <c r="G343" s="147"/>
      <c r="H343" s="148" t="str">
        <f>IF(WORKDAY(B343-1,1,공휴일!$B$4:$B$24)=B343,IF(WORKDAY(B343,1,공휴일!$B$4:$B$24)&lt;&gt;B343+1,"금요일","평일"),IF(WORKDAY(B343,1,공휴일!$B$4:$B$24)&lt;&gt;B343+1,"토요일","일요일"))</f>
        <v>평일</v>
      </c>
      <c r="I343" s="125" t="str">
        <f t="shared" si="25"/>
        <v>2027-06</v>
      </c>
      <c r="J343" s="93" t="str">
        <f t="shared" si="22"/>
        <v>여철호</v>
      </c>
      <c r="K343" s="93" t="str">
        <f t="shared" si="23"/>
        <v>우정수</v>
      </c>
      <c r="L343" s="16" t="str">
        <f t="shared" si="24"/>
        <v>목</v>
      </c>
      <c r="M343" s="17" t="str">
        <f>IFERROR(VLOOKUP(B343,공휴일!B:C,2,0),"")</f>
        <v/>
      </c>
    </row>
    <row r="344" spans="2:13" x14ac:dyDescent="0.3">
      <c r="B344" s="142">
        <v>46563</v>
      </c>
      <c r="C344" s="143" t="s">
        <v>15</v>
      </c>
      <c r="D344" s="144"/>
      <c r="E344" s="143" t="s">
        <v>44</v>
      </c>
      <c r="F344" s="144"/>
      <c r="G344" s="147"/>
      <c r="H344" s="148" t="str">
        <f>IF(WORKDAY(B344-1,1,공휴일!$B$4:$B$24)=B344,IF(WORKDAY(B344,1,공휴일!$B$4:$B$24)&lt;&gt;B344+1,"금요일","평일"),IF(WORKDAY(B344,1,공휴일!$B$4:$B$24)&lt;&gt;B344+1,"토요일","일요일"))</f>
        <v>금요일</v>
      </c>
      <c r="I344" s="125" t="str">
        <f t="shared" si="25"/>
        <v>2027-06</v>
      </c>
      <c r="J344" s="93" t="str">
        <f t="shared" si="22"/>
        <v>구민아</v>
      </c>
      <c r="K344" s="93" t="str">
        <f t="shared" si="23"/>
        <v>오기희</v>
      </c>
      <c r="L344" s="16" t="str">
        <f t="shared" si="24"/>
        <v>금</v>
      </c>
      <c r="M344" s="17" t="str">
        <f>IFERROR(VLOOKUP(B344,공휴일!B:C,2,0),"")</f>
        <v/>
      </c>
    </row>
    <row r="345" spans="2:13" x14ac:dyDescent="0.3">
      <c r="B345" s="142">
        <v>46564</v>
      </c>
      <c r="C345" s="143" t="s">
        <v>14</v>
      </c>
      <c r="D345" s="144"/>
      <c r="E345" s="143" t="s">
        <v>18</v>
      </c>
      <c r="F345" s="144"/>
      <c r="G345" s="147"/>
      <c r="H345" s="148" t="str">
        <f>IF(WORKDAY(B345-1,1,공휴일!$B$4:$B$24)=B345,IF(WORKDAY(B345,1,공휴일!$B$4:$B$24)&lt;&gt;B345+1,"금요일","평일"),IF(WORKDAY(B345,1,공휴일!$B$4:$B$24)&lt;&gt;B345+1,"토요일","일요일"))</f>
        <v>토요일</v>
      </c>
      <c r="I345" s="125" t="str">
        <f t="shared" si="25"/>
        <v>2027-06</v>
      </c>
      <c r="J345" s="93" t="str">
        <f t="shared" si="22"/>
        <v>고석규</v>
      </c>
      <c r="K345" s="93" t="str">
        <f t="shared" si="23"/>
        <v>이승현</v>
      </c>
      <c r="L345" s="16" t="str">
        <f t="shared" si="24"/>
        <v>토</v>
      </c>
      <c r="M345" s="17" t="str">
        <f>IFERROR(VLOOKUP(B345,공휴일!B:C,2,0),"")</f>
        <v/>
      </c>
    </row>
    <row r="346" spans="2:13" x14ac:dyDescent="0.3">
      <c r="B346" s="142">
        <v>46565</v>
      </c>
      <c r="C346" s="143" t="s">
        <v>12</v>
      </c>
      <c r="D346" s="144"/>
      <c r="E346" s="143" t="s">
        <v>10</v>
      </c>
      <c r="F346" s="144"/>
      <c r="G346" s="147"/>
      <c r="H346" s="148" t="str">
        <f>IF(WORKDAY(B346-1,1,공휴일!$B$4:$B$24)=B346,IF(WORKDAY(B346,1,공휴일!$B$4:$B$24)&lt;&gt;B346+1,"금요일","평일"),IF(WORKDAY(B346,1,공휴일!$B$4:$B$24)&lt;&gt;B346+1,"토요일","일요일"))</f>
        <v>일요일</v>
      </c>
      <c r="I346" s="125" t="str">
        <f t="shared" si="25"/>
        <v>2027-06</v>
      </c>
      <c r="J346" s="93" t="str">
        <f t="shared" si="22"/>
        <v>한문영</v>
      </c>
      <c r="K346" s="93" t="str">
        <f t="shared" si="23"/>
        <v>유진수</v>
      </c>
      <c r="L346" s="16" t="str">
        <f t="shared" si="24"/>
        <v>일</v>
      </c>
      <c r="M346" s="17" t="str">
        <f>IFERROR(VLOOKUP(B346,공휴일!B:C,2,0),"")</f>
        <v/>
      </c>
    </row>
    <row r="347" spans="2:13" x14ac:dyDescent="0.3">
      <c r="B347" s="142">
        <v>46566</v>
      </c>
      <c r="C347" s="143" t="s">
        <v>16</v>
      </c>
      <c r="D347" s="144"/>
      <c r="E347" s="143" t="s">
        <v>20</v>
      </c>
      <c r="F347" s="144"/>
      <c r="G347" s="147"/>
      <c r="H347" s="148" t="str">
        <f>IF(WORKDAY(B347-1,1,공휴일!$B$4:$B$24)=B347,IF(WORKDAY(B347,1,공휴일!$B$4:$B$24)&lt;&gt;B347+1,"금요일","평일"),IF(WORKDAY(B347,1,공휴일!$B$4:$B$24)&lt;&gt;B347+1,"토요일","일요일"))</f>
        <v>평일</v>
      </c>
      <c r="I347" s="125" t="str">
        <f t="shared" si="25"/>
        <v>2027-06</v>
      </c>
      <c r="J347" s="93" t="str">
        <f t="shared" si="22"/>
        <v>이현숙</v>
      </c>
      <c r="K347" s="93" t="str">
        <f t="shared" si="23"/>
        <v>이원철</v>
      </c>
      <c r="L347" s="16" t="str">
        <f t="shared" si="24"/>
        <v>월</v>
      </c>
      <c r="M347" s="17" t="str">
        <f>IFERROR(VLOOKUP(B347,공휴일!B:C,2,0),"")</f>
        <v/>
      </c>
    </row>
    <row r="348" spans="2:13" x14ac:dyDescent="0.3">
      <c r="B348" s="142">
        <v>46567</v>
      </c>
      <c r="C348" s="143" t="s">
        <v>13</v>
      </c>
      <c r="D348" s="144"/>
      <c r="E348" s="143" t="s">
        <v>21</v>
      </c>
      <c r="F348" s="144"/>
      <c r="G348" s="147"/>
      <c r="H348" s="148" t="str">
        <f>IF(WORKDAY(B348-1,1,공휴일!$B$4:$B$24)=B348,IF(WORKDAY(B348,1,공휴일!$B$4:$B$24)&lt;&gt;B348+1,"금요일","평일"),IF(WORKDAY(B348,1,공휴일!$B$4:$B$24)&lt;&gt;B348+1,"토요일","일요일"))</f>
        <v>평일</v>
      </c>
      <c r="I348" s="125" t="str">
        <f t="shared" si="25"/>
        <v>2027-06</v>
      </c>
      <c r="J348" s="93" t="str">
        <f t="shared" si="22"/>
        <v>안지영</v>
      </c>
      <c r="K348" s="93" t="str">
        <f t="shared" si="23"/>
        <v>정찬웅</v>
      </c>
      <c r="L348" s="16" t="str">
        <f t="shared" si="24"/>
        <v>화</v>
      </c>
      <c r="M348" s="17" t="str">
        <f>IFERROR(VLOOKUP(B348,공휴일!B:C,2,0),"")</f>
        <v/>
      </c>
    </row>
    <row r="349" spans="2:13" x14ac:dyDescent="0.3">
      <c r="B349" s="142">
        <v>46568</v>
      </c>
      <c r="C349" s="143" t="s">
        <v>41</v>
      </c>
      <c r="D349" s="144"/>
      <c r="E349" s="143" t="s">
        <v>22</v>
      </c>
      <c r="F349" s="144"/>
      <c r="G349" s="147"/>
      <c r="H349" s="148" t="str">
        <f>IF(WORKDAY(B349-1,1,공휴일!$B$4:$B$24)=B349,IF(WORKDAY(B349,1,공휴일!$B$4:$B$24)&lt;&gt;B349+1,"금요일","평일"),IF(WORKDAY(B349,1,공휴일!$B$4:$B$24)&lt;&gt;B349+1,"토요일","일요일"))</f>
        <v>평일</v>
      </c>
      <c r="I349" s="125" t="str">
        <f t="shared" si="25"/>
        <v>2027-06</v>
      </c>
      <c r="J349" s="93" t="str">
        <f t="shared" si="22"/>
        <v>송남철</v>
      </c>
      <c r="K349" s="93" t="str">
        <f t="shared" si="23"/>
        <v>서진호</v>
      </c>
      <c r="L349" s="16" t="str">
        <f t="shared" si="24"/>
        <v>수</v>
      </c>
      <c r="M349" s="17" t="str">
        <f>IFERROR(VLOOKUP(B349,공휴일!B:C,2,0),"")</f>
        <v/>
      </c>
    </row>
    <row r="350" spans="2:13" x14ac:dyDescent="0.3">
      <c r="B350" s="142">
        <v>46569</v>
      </c>
      <c r="C350" s="143" t="s">
        <v>17</v>
      </c>
      <c r="D350" s="144"/>
      <c r="E350" s="143" t="s">
        <v>11</v>
      </c>
      <c r="F350" s="144"/>
      <c r="G350" s="147"/>
      <c r="H350" s="148" t="str">
        <f>IF(WORKDAY(B350-1,1,공휴일!$B$4:$B$24)=B350,IF(WORKDAY(B350,1,공휴일!$B$4:$B$24)&lt;&gt;B350+1,"금요일","평일"),IF(WORKDAY(B350,1,공휴일!$B$4:$B$24)&lt;&gt;B350+1,"토요일","일요일"))</f>
        <v>평일</v>
      </c>
      <c r="I350" s="125" t="str">
        <f t="shared" si="25"/>
        <v>2027-07</v>
      </c>
      <c r="J350" s="93" t="str">
        <f t="shared" si="22"/>
        <v>신혜원</v>
      </c>
      <c r="K350" s="93" t="str">
        <f t="shared" si="23"/>
        <v>장민우</v>
      </c>
      <c r="L350" s="16" t="str">
        <f t="shared" si="24"/>
        <v>목</v>
      </c>
      <c r="M350" s="17" t="str">
        <f>IFERROR(VLOOKUP(B350,공휴일!B:C,2,0),"")</f>
        <v/>
      </c>
    </row>
    <row r="351" spans="2:13" x14ac:dyDescent="0.3">
      <c r="B351" s="142">
        <v>46570</v>
      </c>
      <c r="C351" s="143" t="s">
        <v>40</v>
      </c>
      <c r="D351" s="144"/>
      <c r="E351" s="143" t="s">
        <v>19</v>
      </c>
      <c r="F351" s="144"/>
      <c r="G351" s="147"/>
      <c r="H351" s="148" t="str">
        <f>IF(WORKDAY(B351-1,1,공휴일!$B$4:$B$24)=B351,IF(WORKDAY(B351,1,공휴일!$B$4:$B$24)&lt;&gt;B351+1,"금요일","평일"),IF(WORKDAY(B351,1,공휴일!$B$4:$B$24)&lt;&gt;B351+1,"토요일","일요일"))</f>
        <v>금요일</v>
      </c>
      <c r="I351" s="125" t="str">
        <f t="shared" si="25"/>
        <v>2027-07</v>
      </c>
      <c r="J351" s="93" t="str">
        <f t="shared" si="22"/>
        <v>여철호</v>
      </c>
      <c r="K351" s="93" t="str">
        <f t="shared" si="23"/>
        <v>우정수</v>
      </c>
      <c r="L351" s="16" t="str">
        <f t="shared" si="24"/>
        <v>금</v>
      </c>
      <c r="M351" s="17" t="str">
        <f>IFERROR(VLOOKUP(B351,공휴일!B:C,2,0),"")</f>
        <v/>
      </c>
    </row>
    <row r="352" spans="2:13" x14ac:dyDescent="0.3">
      <c r="B352" s="142">
        <v>46571</v>
      </c>
      <c r="C352" s="143" t="s">
        <v>15</v>
      </c>
      <c r="D352" s="144"/>
      <c r="E352" s="143" t="s">
        <v>44</v>
      </c>
      <c r="F352" s="144"/>
      <c r="G352" s="147"/>
      <c r="H352" s="148" t="str">
        <f>IF(WORKDAY(B352-1,1,공휴일!$B$4:$B$24)=B352,IF(WORKDAY(B352,1,공휴일!$B$4:$B$24)&lt;&gt;B352+1,"금요일","평일"),IF(WORKDAY(B352,1,공휴일!$B$4:$B$24)&lt;&gt;B352+1,"토요일","일요일"))</f>
        <v>토요일</v>
      </c>
      <c r="I352" s="125" t="str">
        <f t="shared" si="25"/>
        <v>2027-07</v>
      </c>
      <c r="J352" s="93" t="str">
        <f t="shared" si="22"/>
        <v>구민아</v>
      </c>
      <c r="K352" s="93" t="str">
        <f t="shared" si="23"/>
        <v>오기희</v>
      </c>
      <c r="L352" s="16" t="str">
        <f t="shared" si="24"/>
        <v>토</v>
      </c>
      <c r="M352" s="17" t="str">
        <f>IFERROR(VLOOKUP(B352,공휴일!B:C,2,0),"")</f>
        <v/>
      </c>
    </row>
    <row r="353" spans="2:13" x14ac:dyDescent="0.3">
      <c r="B353" s="142">
        <v>46572</v>
      </c>
      <c r="C353" s="143" t="s">
        <v>14</v>
      </c>
      <c r="D353" s="144"/>
      <c r="E353" s="143" t="s">
        <v>18</v>
      </c>
      <c r="F353" s="144"/>
      <c r="G353" s="147"/>
      <c r="H353" s="148" t="str">
        <f>IF(WORKDAY(B353-1,1,공휴일!$B$4:$B$24)=B353,IF(WORKDAY(B353,1,공휴일!$B$4:$B$24)&lt;&gt;B353+1,"금요일","평일"),IF(WORKDAY(B353,1,공휴일!$B$4:$B$24)&lt;&gt;B353+1,"토요일","일요일"))</f>
        <v>일요일</v>
      </c>
      <c r="I353" s="125" t="str">
        <f t="shared" si="25"/>
        <v>2027-07</v>
      </c>
      <c r="J353" s="93" t="str">
        <f t="shared" si="22"/>
        <v>고석규</v>
      </c>
      <c r="K353" s="93" t="str">
        <f t="shared" si="23"/>
        <v>이승현</v>
      </c>
      <c r="L353" s="16" t="str">
        <f t="shared" si="24"/>
        <v>일</v>
      </c>
      <c r="M353" s="17" t="str">
        <f>IFERROR(VLOOKUP(B353,공휴일!B:C,2,0),"")</f>
        <v/>
      </c>
    </row>
    <row r="354" spans="2:13" x14ac:dyDescent="0.3">
      <c r="B354" s="142">
        <v>46573</v>
      </c>
      <c r="C354" s="143" t="s">
        <v>12</v>
      </c>
      <c r="D354" s="144"/>
      <c r="E354" s="143" t="s">
        <v>10</v>
      </c>
      <c r="F354" s="144"/>
      <c r="G354" s="147"/>
      <c r="H354" s="148" t="str">
        <f>IF(WORKDAY(B354-1,1,공휴일!$B$4:$B$24)=B354,IF(WORKDAY(B354,1,공휴일!$B$4:$B$24)&lt;&gt;B354+1,"금요일","평일"),IF(WORKDAY(B354,1,공휴일!$B$4:$B$24)&lt;&gt;B354+1,"토요일","일요일"))</f>
        <v>평일</v>
      </c>
      <c r="I354" s="125" t="str">
        <f t="shared" si="25"/>
        <v>2027-07</v>
      </c>
      <c r="J354" s="93" t="str">
        <f t="shared" si="22"/>
        <v>한문영</v>
      </c>
      <c r="K354" s="93" t="str">
        <f t="shared" si="23"/>
        <v>유진수</v>
      </c>
      <c r="L354" s="16" t="str">
        <f t="shared" si="24"/>
        <v>월</v>
      </c>
      <c r="M354" s="17" t="str">
        <f>IFERROR(VLOOKUP(B354,공휴일!B:C,2,0),"")</f>
        <v/>
      </c>
    </row>
    <row r="355" spans="2:13" x14ac:dyDescent="0.3">
      <c r="B355" s="142">
        <v>46574</v>
      </c>
      <c r="C355" s="143" t="s">
        <v>16</v>
      </c>
      <c r="D355" s="144"/>
      <c r="E355" s="143" t="s">
        <v>20</v>
      </c>
      <c r="F355" s="144"/>
      <c r="G355" s="147"/>
      <c r="H355" s="148" t="str">
        <f>IF(WORKDAY(B355-1,1,공휴일!$B$4:$B$24)=B355,IF(WORKDAY(B355,1,공휴일!$B$4:$B$24)&lt;&gt;B355+1,"금요일","평일"),IF(WORKDAY(B355,1,공휴일!$B$4:$B$24)&lt;&gt;B355+1,"토요일","일요일"))</f>
        <v>평일</v>
      </c>
      <c r="I355" s="125" t="str">
        <f t="shared" si="25"/>
        <v>2027-07</v>
      </c>
      <c r="J355" s="93" t="str">
        <f t="shared" si="22"/>
        <v>이현숙</v>
      </c>
      <c r="K355" s="93" t="str">
        <f t="shared" si="23"/>
        <v>이원철</v>
      </c>
      <c r="L355" s="16" t="str">
        <f t="shared" si="24"/>
        <v>화</v>
      </c>
      <c r="M355" s="17" t="str">
        <f>IFERROR(VLOOKUP(B355,공휴일!B:C,2,0),"")</f>
        <v/>
      </c>
    </row>
    <row r="356" spans="2:13" x14ac:dyDescent="0.3">
      <c r="B356" s="142">
        <v>46575</v>
      </c>
      <c r="C356" s="143" t="s">
        <v>13</v>
      </c>
      <c r="D356" s="144"/>
      <c r="E356" s="143" t="s">
        <v>21</v>
      </c>
      <c r="F356" s="144"/>
      <c r="G356" s="147"/>
      <c r="H356" s="148" t="str">
        <f>IF(WORKDAY(B356-1,1,공휴일!$B$4:$B$24)=B356,IF(WORKDAY(B356,1,공휴일!$B$4:$B$24)&lt;&gt;B356+1,"금요일","평일"),IF(WORKDAY(B356,1,공휴일!$B$4:$B$24)&lt;&gt;B356+1,"토요일","일요일"))</f>
        <v>평일</v>
      </c>
      <c r="I356" s="125" t="str">
        <f t="shared" si="25"/>
        <v>2027-07</v>
      </c>
      <c r="J356" s="93" t="str">
        <f t="shared" si="22"/>
        <v>안지영</v>
      </c>
      <c r="K356" s="93" t="str">
        <f t="shared" si="23"/>
        <v>정찬웅</v>
      </c>
      <c r="L356" s="16" t="str">
        <f t="shared" si="24"/>
        <v>수</v>
      </c>
      <c r="M356" s="17" t="str">
        <f>IFERROR(VLOOKUP(B356,공휴일!B:C,2,0),"")</f>
        <v/>
      </c>
    </row>
    <row r="357" spans="2:13" x14ac:dyDescent="0.3">
      <c r="B357" s="142">
        <v>46576</v>
      </c>
      <c r="C357" s="143" t="s">
        <v>41</v>
      </c>
      <c r="D357" s="144"/>
      <c r="E357" s="143" t="s">
        <v>22</v>
      </c>
      <c r="F357" s="144"/>
      <c r="G357" s="147"/>
      <c r="H357" s="148" t="str">
        <f>IF(WORKDAY(B357-1,1,공휴일!$B$4:$B$24)=B357,IF(WORKDAY(B357,1,공휴일!$B$4:$B$24)&lt;&gt;B357+1,"금요일","평일"),IF(WORKDAY(B357,1,공휴일!$B$4:$B$24)&lt;&gt;B357+1,"토요일","일요일"))</f>
        <v>평일</v>
      </c>
      <c r="I357" s="125" t="str">
        <f t="shared" si="25"/>
        <v>2027-07</v>
      </c>
      <c r="J357" s="93" t="str">
        <f t="shared" si="22"/>
        <v>송남철</v>
      </c>
      <c r="K357" s="93" t="str">
        <f t="shared" si="23"/>
        <v>서진호</v>
      </c>
      <c r="L357" s="16" t="str">
        <f t="shared" si="24"/>
        <v>목</v>
      </c>
      <c r="M357" s="17" t="str">
        <f>IFERROR(VLOOKUP(B357,공휴일!B:C,2,0),"")</f>
        <v/>
      </c>
    </row>
    <row r="358" spans="2:13" x14ac:dyDescent="0.3">
      <c r="B358" s="142">
        <v>46577</v>
      </c>
      <c r="C358" s="143" t="s">
        <v>17</v>
      </c>
      <c r="D358" s="144"/>
      <c r="E358" s="143" t="s">
        <v>11</v>
      </c>
      <c r="F358" s="144"/>
      <c r="G358" s="147"/>
      <c r="H358" s="148" t="str">
        <f>IF(WORKDAY(B358-1,1,공휴일!$B$4:$B$24)=B358,IF(WORKDAY(B358,1,공휴일!$B$4:$B$24)&lt;&gt;B358+1,"금요일","평일"),IF(WORKDAY(B358,1,공휴일!$B$4:$B$24)&lt;&gt;B358+1,"토요일","일요일"))</f>
        <v>금요일</v>
      </c>
      <c r="I358" s="125" t="str">
        <f t="shared" si="25"/>
        <v>2027-07</v>
      </c>
      <c r="J358" s="93" t="str">
        <f t="shared" si="22"/>
        <v>신혜원</v>
      </c>
      <c r="K358" s="93" t="str">
        <f t="shared" si="23"/>
        <v>장민우</v>
      </c>
      <c r="L358" s="16" t="str">
        <f t="shared" si="24"/>
        <v>금</v>
      </c>
      <c r="M358" s="17" t="str">
        <f>IFERROR(VLOOKUP(B358,공휴일!B:C,2,0),"")</f>
        <v/>
      </c>
    </row>
    <row r="359" spans="2:13" x14ac:dyDescent="0.3">
      <c r="B359" s="142">
        <v>46578</v>
      </c>
      <c r="C359" s="143" t="s">
        <v>40</v>
      </c>
      <c r="D359" s="144"/>
      <c r="E359" s="143" t="s">
        <v>19</v>
      </c>
      <c r="F359" s="144"/>
      <c r="G359" s="147"/>
      <c r="H359" s="148" t="str">
        <f>IF(WORKDAY(B359-1,1,공휴일!$B$4:$B$24)=B359,IF(WORKDAY(B359,1,공휴일!$B$4:$B$24)&lt;&gt;B359+1,"금요일","평일"),IF(WORKDAY(B359,1,공휴일!$B$4:$B$24)&lt;&gt;B359+1,"토요일","일요일"))</f>
        <v>토요일</v>
      </c>
      <c r="I359" s="125" t="str">
        <f t="shared" si="25"/>
        <v>2027-07</v>
      </c>
      <c r="J359" s="93" t="str">
        <f t="shared" si="22"/>
        <v>여철호</v>
      </c>
      <c r="K359" s="93" t="str">
        <f t="shared" si="23"/>
        <v>우정수</v>
      </c>
      <c r="L359" s="16" t="str">
        <f t="shared" si="24"/>
        <v>토</v>
      </c>
      <c r="M359" s="17" t="str">
        <f>IFERROR(VLOOKUP(B359,공휴일!B:C,2,0),"")</f>
        <v/>
      </c>
    </row>
    <row r="360" spans="2:13" x14ac:dyDescent="0.3">
      <c r="B360" s="142">
        <v>46579</v>
      </c>
      <c r="C360" s="143" t="s">
        <v>15</v>
      </c>
      <c r="D360" s="144"/>
      <c r="E360" s="143" t="s">
        <v>44</v>
      </c>
      <c r="F360" s="144"/>
      <c r="G360" s="147"/>
      <c r="H360" s="148" t="str">
        <f>IF(WORKDAY(B360-1,1,공휴일!$B$4:$B$24)=B360,IF(WORKDAY(B360,1,공휴일!$B$4:$B$24)&lt;&gt;B360+1,"금요일","평일"),IF(WORKDAY(B360,1,공휴일!$B$4:$B$24)&lt;&gt;B360+1,"토요일","일요일"))</f>
        <v>일요일</v>
      </c>
      <c r="I360" s="125" t="str">
        <f t="shared" si="25"/>
        <v>2027-07</v>
      </c>
      <c r="J360" s="93" t="str">
        <f t="shared" si="22"/>
        <v>구민아</v>
      </c>
      <c r="K360" s="93" t="str">
        <f t="shared" si="23"/>
        <v>오기희</v>
      </c>
      <c r="L360" s="16" t="str">
        <f t="shared" si="24"/>
        <v>일</v>
      </c>
      <c r="M360" s="17" t="str">
        <f>IFERROR(VLOOKUP(B360,공휴일!B:C,2,0),"")</f>
        <v/>
      </c>
    </row>
    <row r="361" spans="2:13" x14ac:dyDescent="0.3">
      <c r="B361" s="142">
        <v>46580</v>
      </c>
      <c r="C361" s="143" t="s">
        <v>14</v>
      </c>
      <c r="D361" s="144"/>
      <c r="E361" s="143" t="s">
        <v>18</v>
      </c>
      <c r="F361" s="144"/>
      <c r="G361" s="147"/>
      <c r="H361" s="148" t="str">
        <f>IF(WORKDAY(B361-1,1,공휴일!$B$4:$B$24)=B361,IF(WORKDAY(B361,1,공휴일!$B$4:$B$24)&lt;&gt;B361+1,"금요일","평일"),IF(WORKDAY(B361,1,공휴일!$B$4:$B$24)&lt;&gt;B361+1,"토요일","일요일"))</f>
        <v>평일</v>
      </c>
      <c r="I361" s="125" t="str">
        <f t="shared" si="25"/>
        <v>2027-07</v>
      </c>
      <c r="J361" s="93" t="str">
        <f t="shared" ref="J361:J424" si="26">IF(D361="",C361,D361)</f>
        <v>고석규</v>
      </c>
      <c r="K361" s="93" t="str">
        <f t="shared" ref="K361:K424" si="27">IF(F361="",E361,F361)</f>
        <v>이승현</v>
      </c>
      <c r="L361" s="16" t="str">
        <f t="shared" ref="L361:L424" si="28">TEXT(B361,"aaa")</f>
        <v>월</v>
      </c>
      <c r="M361" s="17" t="str">
        <f>IFERROR(VLOOKUP(B361,공휴일!B:C,2,0),"")</f>
        <v/>
      </c>
    </row>
    <row r="362" spans="2:13" x14ac:dyDescent="0.3">
      <c r="B362" s="142">
        <v>46581</v>
      </c>
      <c r="C362" s="143" t="s">
        <v>12</v>
      </c>
      <c r="D362" s="144"/>
      <c r="E362" s="143" t="s">
        <v>10</v>
      </c>
      <c r="F362" s="144"/>
      <c r="G362" s="147"/>
      <c r="H362" s="148" t="str">
        <f>IF(WORKDAY(B362-1,1,공휴일!$B$4:$B$24)=B362,IF(WORKDAY(B362,1,공휴일!$B$4:$B$24)&lt;&gt;B362+1,"금요일","평일"),IF(WORKDAY(B362,1,공휴일!$B$4:$B$24)&lt;&gt;B362+1,"토요일","일요일"))</f>
        <v>평일</v>
      </c>
      <c r="I362" s="125" t="str">
        <f t="shared" si="25"/>
        <v>2027-07</v>
      </c>
      <c r="J362" s="93" t="str">
        <f t="shared" si="26"/>
        <v>한문영</v>
      </c>
      <c r="K362" s="93" t="str">
        <f t="shared" si="27"/>
        <v>유진수</v>
      </c>
      <c r="L362" s="16" t="str">
        <f t="shared" si="28"/>
        <v>화</v>
      </c>
      <c r="M362" s="17" t="str">
        <f>IFERROR(VLOOKUP(B362,공휴일!B:C,2,0),"")</f>
        <v/>
      </c>
    </row>
    <row r="363" spans="2:13" x14ac:dyDescent="0.3">
      <c r="B363" s="142">
        <v>46582</v>
      </c>
      <c r="C363" s="143" t="s">
        <v>16</v>
      </c>
      <c r="D363" s="144"/>
      <c r="E363" s="143" t="s">
        <v>20</v>
      </c>
      <c r="F363" s="144"/>
      <c r="G363" s="147"/>
      <c r="H363" s="148" t="str">
        <f>IF(WORKDAY(B363-1,1,공휴일!$B$4:$B$24)=B363,IF(WORKDAY(B363,1,공휴일!$B$4:$B$24)&lt;&gt;B363+1,"금요일","평일"),IF(WORKDAY(B363,1,공휴일!$B$4:$B$24)&lt;&gt;B363+1,"토요일","일요일"))</f>
        <v>평일</v>
      </c>
      <c r="I363" s="125" t="str">
        <f t="shared" si="25"/>
        <v>2027-07</v>
      </c>
      <c r="J363" s="93" t="str">
        <f t="shared" si="26"/>
        <v>이현숙</v>
      </c>
      <c r="K363" s="93" t="str">
        <f t="shared" si="27"/>
        <v>이원철</v>
      </c>
      <c r="L363" s="16" t="str">
        <f t="shared" si="28"/>
        <v>수</v>
      </c>
      <c r="M363" s="17" t="str">
        <f>IFERROR(VLOOKUP(B363,공휴일!B:C,2,0),"")</f>
        <v/>
      </c>
    </row>
    <row r="364" spans="2:13" x14ac:dyDescent="0.3">
      <c r="B364" s="142">
        <v>46583</v>
      </c>
      <c r="C364" s="143" t="s">
        <v>13</v>
      </c>
      <c r="D364" s="144"/>
      <c r="E364" s="143" t="s">
        <v>21</v>
      </c>
      <c r="F364" s="144"/>
      <c r="G364" s="147"/>
      <c r="H364" s="148" t="str">
        <f>IF(WORKDAY(B364-1,1,공휴일!$B$4:$B$24)=B364,IF(WORKDAY(B364,1,공휴일!$B$4:$B$24)&lt;&gt;B364+1,"금요일","평일"),IF(WORKDAY(B364,1,공휴일!$B$4:$B$24)&lt;&gt;B364+1,"토요일","일요일"))</f>
        <v>평일</v>
      </c>
      <c r="I364" s="125" t="str">
        <f t="shared" si="25"/>
        <v>2027-07</v>
      </c>
      <c r="J364" s="93" t="str">
        <f t="shared" si="26"/>
        <v>안지영</v>
      </c>
      <c r="K364" s="93" t="str">
        <f t="shared" si="27"/>
        <v>정찬웅</v>
      </c>
      <c r="L364" s="16" t="str">
        <f t="shared" si="28"/>
        <v>목</v>
      </c>
      <c r="M364" s="17" t="str">
        <f>IFERROR(VLOOKUP(B364,공휴일!B:C,2,0),"")</f>
        <v/>
      </c>
    </row>
    <row r="365" spans="2:13" x14ac:dyDescent="0.3">
      <c r="B365" s="142">
        <v>46584</v>
      </c>
      <c r="C365" s="143" t="s">
        <v>41</v>
      </c>
      <c r="D365" s="144"/>
      <c r="E365" s="143" t="s">
        <v>22</v>
      </c>
      <c r="F365" s="144"/>
      <c r="G365" s="147"/>
      <c r="H365" s="148" t="str">
        <f>IF(WORKDAY(B365-1,1,공휴일!$B$4:$B$24)=B365,IF(WORKDAY(B365,1,공휴일!$B$4:$B$24)&lt;&gt;B365+1,"금요일","평일"),IF(WORKDAY(B365,1,공휴일!$B$4:$B$24)&lt;&gt;B365+1,"토요일","일요일"))</f>
        <v>금요일</v>
      </c>
      <c r="I365" s="125" t="str">
        <f t="shared" si="25"/>
        <v>2027-07</v>
      </c>
      <c r="J365" s="93" t="str">
        <f t="shared" si="26"/>
        <v>송남철</v>
      </c>
      <c r="K365" s="93" t="str">
        <f t="shared" si="27"/>
        <v>서진호</v>
      </c>
      <c r="L365" s="16" t="str">
        <f t="shared" si="28"/>
        <v>금</v>
      </c>
      <c r="M365" s="17" t="str">
        <f>IFERROR(VLOOKUP(B365,공휴일!B:C,2,0),"")</f>
        <v/>
      </c>
    </row>
    <row r="366" spans="2:13" x14ac:dyDescent="0.3">
      <c r="B366" s="142">
        <v>46585</v>
      </c>
      <c r="C366" s="143" t="s">
        <v>17</v>
      </c>
      <c r="D366" s="144"/>
      <c r="E366" s="143" t="s">
        <v>11</v>
      </c>
      <c r="F366" s="144"/>
      <c r="G366" s="147"/>
      <c r="H366" s="148" t="str">
        <f>IF(WORKDAY(B366-1,1,공휴일!$B$4:$B$24)=B366,IF(WORKDAY(B366,1,공휴일!$B$4:$B$24)&lt;&gt;B366+1,"금요일","평일"),IF(WORKDAY(B366,1,공휴일!$B$4:$B$24)&lt;&gt;B366+1,"토요일","일요일"))</f>
        <v>토요일</v>
      </c>
      <c r="I366" s="125" t="str">
        <f t="shared" si="25"/>
        <v>2027-07</v>
      </c>
      <c r="J366" s="93" t="str">
        <f t="shared" si="26"/>
        <v>신혜원</v>
      </c>
      <c r="K366" s="93" t="str">
        <f t="shared" si="27"/>
        <v>장민우</v>
      </c>
      <c r="L366" s="16" t="str">
        <f t="shared" si="28"/>
        <v>토</v>
      </c>
      <c r="M366" s="17" t="str">
        <f>IFERROR(VLOOKUP(B366,공휴일!B:C,2,0),"")</f>
        <v/>
      </c>
    </row>
    <row r="367" spans="2:13" x14ac:dyDescent="0.3">
      <c r="B367" s="142">
        <v>46586</v>
      </c>
      <c r="C367" s="143" t="s">
        <v>40</v>
      </c>
      <c r="D367" s="144"/>
      <c r="E367" s="143" t="s">
        <v>19</v>
      </c>
      <c r="F367" s="144"/>
      <c r="G367" s="147"/>
      <c r="H367" s="148" t="str">
        <f>IF(WORKDAY(B367-1,1,공휴일!$B$4:$B$24)=B367,IF(WORKDAY(B367,1,공휴일!$B$4:$B$24)&lt;&gt;B367+1,"금요일","평일"),IF(WORKDAY(B367,1,공휴일!$B$4:$B$24)&lt;&gt;B367+1,"토요일","일요일"))</f>
        <v>일요일</v>
      </c>
      <c r="I367" s="125" t="str">
        <f t="shared" si="25"/>
        <v>2027-07</v>
      </c>
      <c r="J367" s="93" t="str">
        <f t="shared" si="26"/>
        <v>여철호</v>
      </c>
      <c r="K367" s="93" t="str">
        <f t="shared" si="27"/>
        <v>우정수</v>
      </c>
      <c r="L367" s="16" t="str">
        <f t="shared" si="28"/>
        <v>일</v>
      </c>
      <c r="M367" s="17" t="str">
        <f>IFERROR(VLOOKUP(B367,공휴일!B:C,2,0),"")</f>
        <v/>
      </c>
    </row>
    <row r="368" spans="2:13" x14ac:dyDescent="0.3">
      <c r="B368" s="142">
        <v>46587</v>
      </c>
      <c r="C368" s="143" t="s">
        <v>15</v>
      </c>
      <c r="D368" s="144"/>
      <c r="E368" s="143" t="s">
        <v>44</v>
      </c>
      <c r="F368" s="144"/>
      <c r="G368" s="147"/>
      <c r="H368" s="148" t="str">
        <f>IF(WORKDAY(B368-1,1,공휴일!$B$4:$B$24)=B368,IF(WORKDAY(B368,1,공휴일!$B$4:$B$24)&lt;&gt;B368+1,"금요일","평일"),IF(WORKDAY(B368,1,공휴일!$B$4:$B$24)&lt;&gt;B368+1,"토요일","일요일"))</f>
        <v>평일</v>
      </c>
      <c r="I368" s="125" t="str">
        <f t="shared" si="25"/>
        <v>2027-07</v>
      </c>
      <c r="J368" s="93" t="str">
        <f t="shared" si="26"/>
        <v>구민아</v>
      </c>
      <c r="K368" s="93" t="str">
        <f t="shared" si="27"/>
        <v>오기희</v>
      </c>
      <c r="L368" s="16" t="str">
        <f t="shared" si="28"/>
        <v>월</v>
      </c>
      <c r="M368" s="17" t="str">
        <f>IFERROR(VLOOKUP(B368,공휴일!B:C,2,0),"")</f>
        <v/>
      </c>
    </row>
    <row r="369" spans="2:13" x14ac:dyDescent="0.3">
      <c r="B369" s="142">
        <v>46588</v>
      </c>
      <c r="C369" s="143" t="s">
        <v>14</v>
      </c>
      <c r="D369" s="144"/>
      <c r="E369" s="143" t="s">
        <v>18</v>
      </c>
      <c r="F369" s="144"/>
      <c r="G369" s="147"/>
      <c r="H369" s="148" t="str">
        <f>IF(WORKDAY(B369-1,1,공휴일!$B$4:$B$24)=B369,IF(WORKDAY(B369,1,공휴일!$B$4:$B$24)&lt;&gt;B369+1,"금요일","평일"),IF(WORKDAY(B369,1,공휴일!$B$4:$B$24)&lt;&gt;B369+1,"토요일","일요일"))</f>
        <v>평일</v>
      </c>
      <c r="I369" s="125" t="str">
        <f t="shared" si="25"/>
        <v>2027-07</v>
      </c>
      <c r="J369" s="93" t="str">
        <f t="shared" si="26"/>
        <v>고석규</v>
      </c>
      <c r="K369" s="93" t="str">
        <f t="shared" si="27"/>
        <v>이승현</v>
      </c>
      <c r="L369" s="16" t="str">
        <f t="shared" si="28"/>
        <v>화</v>
      </c>
      <c r="M369" s="17" t="str">
        <f>IFERROR(VLOOKUP(B369,공휴일!B:C,2,0),"")</f>
        <v/>
      </c>
    </row>
    <row r="370" spans="2:13" x14ac:dyDescent="0.3">
      <c r="B370" s="142">
        <v>46589</v>
      </c>
      <c r="C370" s="143" t="s">
        <v>12</v>
      </c>
      <c r="D370" s="144"/>
      <c r="E370" s="143" t="s">
        <v>10</v>
      </c>
      <c r="F370" s="144"/>
      <c r="G370" s="147"/>
      <c r="H370" s="148" t="str">
        <f>IF(WORKDAY(B370-1,1,공휴일!$B$4:$B$24)=B370,IF(WORKDAY(B370,1,공휴일!$B$4:$B$24)&lt;&gt;B370+1,"금요일","평일"),IF(WORKDAY(B370,1,공휴일!$B$4:$B$24)&lt;&gt;B370+1,"토요일","일요일"))</f>
        <v>평일</v>
      </c>
      <c r="I370" s="125" t="str">
        <f t="shared" si="25"/>
        <v>2027-07</v>
      </c>
      <c r="J370" s="93" t="str">
        <f t="shared" si="26"/>
        <v>한문영</v>
      </c>
      <c r="K370" s="93" t="str">
        <f t="shared" si="27"/>
        <v>유진수</v>
      </c>
      <c r="L370" s="16" t="str">
        <f t="shared" si="28"/>
        <v>수</v>
      </c>
      <c r="M370" s="17" t="str">
        <f>IFERROR(VLOOKUP(B370,공휴일!B:C,2,0),"")</f>
        <v/>
      </c>
    </row>
    <row r="371" spans="2:13" x14ac:dyDescent="0.3">
      <c r="B371" s="142">
        <v>46590</v>
      </c>
      <c r="C371" s="143" t="s">
        <v>16</v>
      </c>
      <c r="D371" s="144"/>
      <c r="E371" s="143" t="s">
        <v>20</v>
      </c>
      <c r="F371" s="144"/>
      <c r="G371" s="147"/>
      <c r="H371" s="148" t="str">
        <f>IF(WORKDAY(B371-1,1,공휴일!$B$4:$B$24)=B371,IF(WORKDAY(B371,1,공휴일!$B$4:$B$24)&lt;&gt;B371+1,"금요일","평일"),IF(WORKDAY(B371,1,공휴일!$B$4:$B$24)&lt;&gt;B371+1,"토요일","일요일"))</f>
        <v>평일</v>
      </c>
      <c r="I371" s="125" t="str">
        <f t="shared" si="25"/>
        <v>2027-07</v>
      </c>
      <c r="J371" s="93" t="str">
        <f t="shared" si="26"/>
        <v>이현숙</v>
      </c>
      <c r="K371" s="93" t="str">
        <f t="shared" si="27"/>
        <v>이원철</v>
      </c>
      <c r="L371" s="16" t="str">
        <f t="shared" si="28"/>
        <v>목</v>
      </c>
      <c r="M371" s="17" t="str">
        <f>IFERROR(VLOOKUP(B371,공휴일!B:C,2,0),"")</f>
        <v/>
      </c>
    </row>
    <row r="372" spans="2:13" x14ac:dyDescent="0.3">
      <c r="B372" s="142">
        <v>46591</v>
      </c>
      <c r="C372" s="143" t="s">
        <v>13</v>
      </c>
      <c r="D372" s="144"/>
      <c r="E372" s="143" t="s">
        <v>21</v>
      </c>
      <c r="F372" s="144"/>
      <c r="G372" s="147"/>
      <c r="H372" s="148" t="str">
        <f>IF(WORKDAY(B372-1,1,공휴일!$B$4:$B$24)=B372,IF(WORKDAY(B372,1,공휴일!$B$4:$B$24)&lt;&gt;B372+1,"금요일","평일"),IF(WORKDAY(B372,1,공휴일!$B$4:$B$24)&lt;&gt;B372+1,"토요일","일요일"))</f>
        <v>금요일</v>
      </c>
      <c r="I372" s="125" t="str">
        <f t="shared" si="25"/>
        <v>2027-07</v>
      </c>
      <c r="J372" s="93" t="str">
        <f t="shared" si="26"/>
        <v>안지영</v>
      </c>
      <c r="K372" s="93" t="str">
        <f t="shared" si="27"/>
        <v>정찬웅</v>
      </c>
      <c r="L372" s="16" t="str">
        <f t="shared" si="28"/>
        <v>금</v>
      </c>
      <c r="M372" s="17" t="str">
        <f>IFERROR(VLOOKUP(B372,공휴일!B:C,2,0),"")</f>
        <v/>
      </c>
    </row>
    <row r="373" spans="2:13" x14ac:dyDescent="0.3">
      <c r="B373" s="142">
        <v>46592</v>
      </c>
      <c r="C373" s="143" t="s">
        <v>41</v>
      </c>
      <c r="D373" s="144"/>
      <c r="E373" s="143" t="s">
        <v>22</v>
      </c>
      <c r="F373" s="144"/>
      <c r="G373" s="147"/>
      <c r="H373" s="148" t="str">
        <f>IF(WORKDAY(B373-1,1,공휴일!$B$4:$B$24)=B373,IF(WORKDAY(B373,1,공휴일!$B$4:$B$24)&lt;&gt;B373+1,"금요일","평일"),IF(WORKDAY(B373,1,공휴일!$B$4:$B$24)&lt;&gt;B373+1,"토요일","일요일"))</f>
        <v>토요일</v>
      </c>
      <c r="I373" s="125" t="str">
        <f t="shared" si="25"/>
        <v>2027-07</v>
      </c>
      <c r="J373" s="93" t="str">
        <f t="shared" si="26"/>
        <v>송남철</v>
      </c>
      <c r="K373" s="93" t="str">
        <f t="shared" si="27"/>
        <v>서진호</v>
      </c>
      <c r="L373" s="16" t="str">
        <f t="shared" si="28"/>
        <v>토</v>
      </c>
      <c r="M373" s="17" t="str">
        <f>IFERROR(VLOOKUP(B373,공휴일!B:C,2,0),"")</f>
        <v/>
      </c>
    </row>
    <row r="374" spans="2:13" x14ac:dyDescent="0.3">
      <c r="B374" s="142">
        <v>46593</v>
      </c>
      <c r="C374" s="143" t="s">
        <v>17</v>
      </c>
      <c r="D374" s="144"/>
      <c r="E374" s="143" t="s">
        <v>11</v>
      </c>
      <c r="F374" s="144"/>
      <c r="G374" s="147"/>
      <c r="H374" s="148" t="str">
        <f>IF(WORKDAY(B374-1,1,공휴일!$B$4:$B$24)=B374,IF(WORKDAY(B374,1,공휴일!$B$4:$B$24)&lt;&gt;B374+1,"금요일","평일"),IF(WORKDAY(B374,1,공휴일!$B$4:$B$24)&lt;&gt;B374+1,"토요일","일요일"))</f>
        <v>일요일</v>
      </c>
      <c r="I374" s="125" t="str">
        <f t="shared" si="25"/>
        <v>2027-07</v>
      </c>
      <c r="J374" s="93" t="str">
        <f t="shared" si="26"/>
        <v>신혜원</v>
      </c>
      <c r="K374" s="93" t="str">
        <f t="shared" si="27"/>
        <v>장민우</v>
      </c>
      <c r="L374" s="16" t="str">
        <f t="shared" si="28"/>
        <v>일</v>
      </c>
      <c r="M374" s="17" t="str">
        <f>IFERROR(VLOOKUP(B374,공휴일!B:C,2,0),"")</f>
        <v/>
      </c>
    </row>
    <row r="375" spans="2:13" x14ac:dyDescent="0.3">
      <c r="B375" s="142">
        <v>46594</v>
      </c>
      <c r="C375" s="143" t="s">
        <v>40</v>
      </c>
      <c r="D375" s="144"/>
      <c r="E375" s="143" t="s">
        <v>19</v>
      </c>
      <c r="F375" s="144"/>
      <c r="G375" s="147"/>
      <c r="H375" s="148" t="str">
        <f>IF(WORKDAY(B375-1,1,공휴일!$B$4:$B$24)=B375,IF(WORKDAY(B375,1,공휴일!$B$4:$B$24)&lt;&gt;B375+1,"금요일","평일"),IF(WORKDAY(B375,1,공휴일!$B$4:$B$24)&lt;&gt;B375+1,"토요일","일요일"))</f>
        <v>평일</v>
      </c>
      <c r="I375" s="125" t="str">
        <f t="shared" si="25"/>
        <v>2027-07</v>
      </c>
      <c r="J375" s="93" t="str">
        <f t="shared" si="26"/>
        <v>여철호</v>
      </c>
      <c r="K375" s="93" t="str">
        <f t="shared" si="27"/>
        <v>우정수</v>
      </c>
      <c r="L375" s="16" t="str">
        <f t="shared" si="28"/>
        <v>월</v>
      </c>
      <c r="M375" s="17" t="str">
        <f>IFERROR(VLOOKUP(B375,공휴일!B:C,2,0),"")</f>
        <v/>
      </c>
    </row>
    <row r="376" spans="2:13" x14ac:dyDescent="0.3">
      <c r="B376" s="142">
        <v>46595</v>
      </c>
      <c r="C376" s="143" t="s">
        <v>15</v>
      </c>
      <c r="D376" s="144"/>
      <c r="E376" s="143" t="s">
        <v>44</v>
      </c>
      <c r="F376" s="144"/>
      <c r="G376" s="147"/>
      <c r="H376" s="148" t="str">
        <f>IF(WORKDAY(B376-1,1,공휴일!$B$4:$B$24)=B376,IF(WORKDAY(B376,1,공휴일!$B$4:$B$24)&lt;&gt;B376+1,"금요일","평일"),IF(WORKDAY(B376,1,공휴일!$B$4:$B$24)&lt;&gt;B376+1,"토요일","일요일"))</f>
        <v>평일</v>
      </c>
      <c r="I376" s="125" t="str">
        <f t="shared" si="25"/>
        <v>2027-07</v>
      </c>
      <c r="J376" s="93" t="str">
        <f t="shared" si="26"/>
        <v>구민아</v>
      </c>
      <c r="K376" s="93" t="str">
        <f t="shared" si="27"/>
        <v>오기희</v>
      </c>
      <c r="L376" s="16" t="str">
        <f t="shared" si="28"/>
        <v>화</v>
      </c>
      <c r="M376" s="17" t="str">
        <f>IFERROR(VLOOKUP(B376,공휴일!B:C,2,0),"")</f>
        <v/>
      </c>
    </row>
    <row r="377" spans="2:13" x14ac:dyDescent="0.3">
      <c r="B377" s="142">
        <v>46596</v>
      </c>
      <c r="C377" s="143" t="s">
        <v>14</v>
      </c>
      <c r="D377" s="144"/>
      <c r="E377" s="143" t="s">
        <v>18</v>
      </c>
      <c r="F377" s="144"/>
      <c r="G377" s="147"/>
      <c r="H377" s="148" t="str">
        <f>IF(WORKDAY(B377-1,1,공휴일!$B$4:$B$24)=B377,IF(WORKDAY(B377,1,공휴일!$B$4:$B$24)&lt;&gt;B377+1,"금요일","평일"),IF(WORKDAY(B377,1,공휴일!$B$4:$B$24)&lt;&gt;B377+1,"토요일","일요일"))</f>
        <v>평일</v>
      </c>
      <c r="I377" s="125" t="str">
        <f t="shared" si="25"/>
        <v>2027-07</v>
      </c>
      <c r="J377" s="93" t="str">
        <f t="shared" si="26"/>
        <v>고석규</v>
      </c>
      <c r="K377" s="93" t="str">
        <f t="shared" si="27"/>
        <v>이승현</v>
      </c>
      <c r="L377" s="16" t="str">
        <f t="shared" si="28"/>
        <v>수</v>
      </c>
      <c r="M377" s="17" t="str">
        <f>IFERROR(VLOOKUP(B377,공휴일!B:C,2,0),"")</f>
        <v/>
      </c>
    </row>
    <row r="378" spans="2:13" x14ac:dyDescent="0.3">
      <c r="B378" s="142">
        <v>46597</v>
      </c>
      <c r="C378" s="143" t="s">
        <v>12</v>
      </c>
      <c r="D378" s="144"/>
      <c r="E378" s="143" t="s">
        <v>10</v>
      </c>
      <c r="F378" s="144"/>
      <c r="G378" s="147"/>
      <c r="H378" s="148" t="str">
        <f>IF(WORKDAY(B378-1,1,공휴일!$B$4:$B$24)=B378,IF(WORKDAY(B378,1,공휴일!$B$4:$B$24)&lt;&gt;B378+1,"금요일","평일"),IF(WORKDAY(B378,1,공휴일!$B$4:$B$24)&lt;&gt;B378+1,"토요일","일요일"))</f>
        <v>평일</v>
      </c>
      <c r="I378" s="125" t="str">
        <f t="shared" si="25"/>
        <v>2027-07</v>
      </c>
      <c r="J378" s="93" t="str">
        <f t="shared" si="26"/>
        <v>한문영</v>
      </c>
      <c r="K378" s="93" t="str">
        <f t="shared" si="27"/>
        <v>유진수</v>
      </c>
      <c r="L378" s="16" t="str">
        <f t="shared" si="28"/>
        <v>목</v>
      </c>
      <c r="M378" s="17" t="str">
        <f>IFERROR(VLOOKUP(B378,공휴일!B:C,2,0),"")</f>
        <v/>
      </c>
    </row>
    <row r="379" spans="2:13" x14ac:dyDescent="0.3">
      <c r="B379" s="142">
        <v>46598</v>
      </c>
      <c r="C379" s="143" t="s">
        <v>16</v>
      </c>
      <c r="D379" s="144"/>
      <c r="E379" s="143" t="s">
        <v>20</v>
      </c>
      <c r="F379" s="144"/>
      <c r="G379" s="147"/>
      <c r="H379" s="148" t="str">
        <f>IF(WORKDAY(B379-1,1,공휴일!$B$4:$B$24)=B379,IF(WORKDAY(B379,1,공휴일!$B$4:$B$24)&lt;&gt;B379+1,"금요일","평일"),IF(WORKDAY(B379,1,공휴일!$B$4:$B$24)&lt;&gt;B379+1,"토요일","일요일"))</f>
        <v>금요일</v>
      </c>
      <c r="I379" s="125" t="str">
        <f t="shared" si="25"/>
        <v>2027-07</v>
      </c>
      <c r="J379" s="93" t="str">
        <f t="shared" si="26"/>
        <v>이현숙</v>
      </c>
      <c r="K379" s="93" t="str">
        <f t="shared" si="27"/>
        <v>이원철</v>
      </c>
      <c r="L379" s="16" t="str">
        <f t="shared" si="28"/>
        <v>금</v>
      </c>
      <c r="M379" s="17" t="str">
        <f>IFERROR(VLOOKUP(B379,공휴일!B:C,2,0),"")</f>
        <v/>
      </c>
    </row>
    <row r="380" spans="2:13" x14ac:dyDescent="0.3">
      <c r="B380" s="142">
        <v>46599</v>
      </c>
      <c r="C380" s="143" t="s">
        <v>13</v>
      </c>
      <c r="D380" s="144"/>
      <c r="E380" s="143" t="s">
        <v>21</v>
      </c>
      <c r="F380" s="144"/>
      <c r="G380" s="147"/>
      <c r="H380" s="148" t="str">
        <f>IF(WORKDAY(B380-1,1,공휴일!$B$4:$B$24)=B380,IF(WORKDAY(B380,1,공휴일!$B$4:$B$24)&lt;&gt;B380+1,"금요일","평일"),IF(WORKDAY(B380,1,공휴일!$B$4:$B$24)&lt;&gt;B380+1,"토요일","일요일"))</f>
        <v>토요일</v>
      </c>
      <c r="I380" s="125" t="str">
        <f t="shared" si="25"/>
        <v>2027-07</v>
      </c>
      <c r="J380" s="93" t="str">
        <f t="shared" si="26"/>
        <v>안지영</v>
      </c>
      <c r="K380" s="93" t="str">
        <f t="shared" si="27"/>
        <v>정찬웅</v>
      </c>
      <c r="L380" s="16" t="str">
        <f t="shared" si="28"/>
        <v>토</v>
      </c>
      <c r="M380" s="17" t="str">
        <f>IFERROR(VLOOKUP(B380,공휴일!B:C,2,0),"")</f>
        <v/>
      </c>
    </row>
    <row r="381" spans="2:13" x14ac:dyDescent="0.3">
      <c r="B381" s="142">
        <v>46600</v>
      </c>
      <c r="C381" s="143" t="s">
        <v>41</v>
      </c>
      <c r="D381" s="144"/>
      <c r="E381" s="143" t="s">
        <v>22</v>
      </c>
      <c r="F381" s="144"/>
      <c r="G381" s="147"/>
      <c r="H381" s="148" t="str">
        <f>IF(WORKDAY(B381-1,1,공휴일!$B$4:$B$24)=B381,IF(WORKDAY(B381,1,공휴일!$B$4:$B$24)&lt;&gt;B381+1,"금요일","평일"),IF(WORKDAY(B381,1,공휴일!$B$4:$B$24)&lt;&gt;B381+1,"토요일","일요일"))</f>
        <v>일요일</v>
      </c>
      <c r="I381" s="125" t="str">
        <f t="shared" si="25"/>
        <v>2027-08</v>
      </c>
      <c r="J381" s="93" t="str">
        <f t="shared" si="26"/>
        <v>송남철</v>
      </c>
      <c r="K381" s="93" t="str">
        <f t="shared" si="27"/>
        <v>서진호</v>
      </c>
      <c r="L381" s="16" t="str">
        <f t="shared" si="28"/>
        <v>일</v>
      </c>
      <c r="M381" s="17" t="str">
        <f>IFERROR(VLOOKUP(B381,공휴일!B:C,2,0),"")</f>
        <v/>
      </c>
    </row>
    <row r="382" spans="2:13" x14ac:dyDescent="0.3">
      <c r="B382" s="142">
        <v>46601</v>
      </c>
      <c r="C382" s="143" t="s">
        <v>17</v>
      </c>
      <c r="D382" s="144"/>
      <c r="E382" s="143" t="s">
        <v>11</v>
      </c>
      <c r="F382" s="144"/>
      <c r="G382" s="147"/>
      <c r="H382" s="148" t="str">
        <f>IF(WORKDAY(B382-1,1,공휴일!$B$4:$B$24)=B382,IF(WORKDAY(B382,1,공휴일!$B$4:$B$24)&lt;&gt;B382+1,"금요일","평일"),IF(WORKDAY(B382,1,공휴일!$B$4:$B$24)&lt;&gt;B382+1,"토요일","일요일"))</f>
        <v>평일</v>
      </c>
      <c r="I382" s="125" t="str">
        <f t="shared" si="25"/>
        <v>2027-08</v>
      </c>
      <c r="J382" s="93" t="str">
        <f t="shared" si="26"/>
        <v>신혜원</v>
      </c>
      <c r="K382" s="93" t="str">
        <f t="shared" si="27"/>
        <v>장민우</v>
      </c>
      <c r="L382" s="16" t="str">
        <f t="shared" si="28"/>
        <v>월</v>
      </c>
      <c r="M382" s="17" t="str">
        <f>IFERROR(VLOOKUP(B382,공휴일!B:C,2,0),"")</f>
        <v/>
      </c>
    </row>
    <row r="383" spans="2:13" x14ac:dyDescent="0.3">
      <c r="B383" s="142">
        <v>46602</v>
      </c>
      <c r="C383" s="143" t="s">
        <v>40</v>
      </c>
      <c r="D383" s="144"/>
      <c r="E383" s="143" t="s">
        <v>19</v>
      </c>
      <c r="F383" s="144"/>
      <c r="G383" s="147"/>
      <c r="H383" s="148" t="str">
        <f>IF(WORKDAY(B383-1,1,공휴일!$B$4:$B$24)=B383,IF(WORKDAY(B383,1,공휴일!$B$4:$B$24)&lt;&gt;B383+1,"금요일","평일"),IF(WORKDAY(B383,1,공휴일!$B$4:$B$24)&lt;&gt;B383+1,"토요일","일요일"))</f>
        <v>평일</v>
      </c>
      <c r="I383" s="125" t="str">
        <f t="shared" si="25"/>
        <v>2027-08</v>
      </c>
      <c r="J383" s="93" t="str">
        <f t="shared" si="26"/>
        <v>여철호</v>
      </c>
      <c r="K383" s="93" t="str">
        <f t="shared" si="27"/>
        <v>우정수</v>
      </c>
      <c r="L383" s="16" t="str">
        <f t="shared" si="28"/>
        <v>화</v>
      </c>
      <c r="M383" s="17" t="str">
        <f>IFERROR(VLOOKUP(B383,공휴일!B:C,2,0),"")</f>
        <v/>
      </c>
    </row>
    <row r="384" spans="2:13" x14ac:dyDescent="0.3">
      <c r="B384" s="142">
        <v>46603</v>
      </c>
      <c r="C384" s="143" t="s">
        <v>15</v>
      </c>
      <c r="D384" s="144"/>
      <c r="E384" s="143" t="s">
        <v>44</v>
      </c>
      <c r="F384" s="144"/>
      <c r="G384" s="147"/>
      <c r="H384" s="148" t="str">
        <f>IF(WORKDAY(B384-1,1,공휴일!$B$4:$B$24)=B384,IF(WORKDAY(B384,1,공휴일!$B$4:$B$24)&lt;&gt;B384+1,"금요일","평일"),IF(WORKDAY(B384,1,공휴일!$B$4:$B$24)&lt;&gt;B384+1,"토요일","일요일"))</f>
        <v>평일</v>
      </c>
      <c r="I384" s="125" t="str">
        <f t="shared" si="25"/>
        <v>2027-08</v>
      </c>
      <c r="J384" s="93" t="str">
        <f t="shared" si="26"/>
        <v>구민아</v>
      </c>
      <c r="K384" s="93" t="str">
        <f t="shared" si="27"/>
        <v>오기희</v>
      </c>
      <c r="L384" s="16" t="str">
        <f t="shared" si="28"/>
        <v>수</v>
      </c>
      <c r="M384" s="17" t="str">
        <f>IFERROR(VLOOKUP(B384,공휴일!B:C,2,0),"")</f>
        <v/>
      </c>
    </row>
    <row r="385" spans="2:13" x14ac:dyDescent="0.3">
      <c r="B385" s="142">
        <v>46604</v>
      </c>
      <c r="C385" s="143" t="s">
        <v>14</v>
      </c>
      <c r="D385" s="144"/>
      <c r="E385" s="143" t="s">
        <v>18</v>
      </c>
      <c r="F385" s="144"/>
      <c r="G385" s="147"/>
      <c r="H385" s="148" t="str">
        <f>IF(WORKDAY(B385-1,1,공휴일!$B$4:$B$24)=B385,IF(WORKDAY(B385,1,공휴일!$B$4:$B$24)&lt;&gt;B385+1,"금요일","평일"),IF(WORKDAY(B385,1,공휴일!$B$4:$B$24)&lt;&gt;B385+1,"토요일","일요일"))</f>
        <v>평일</v>
      </c>
      <c r="I385" s="125" t="str">
        <f t="shared" si="25"/>
        <v>2027-08</v>
      </c>
      <c r="J385" s="93" t="str">
        <f t="shared" si="26"/>
        <v>고석규</v>
      </c>
      <c r="K385" s="93" t="str">
        <f t="shared" si="27"/>
        <v>이승현</v>
      </c>
      <c r="L385" s="16" t="str">
        <f t="shared" si="28"/>
        <v>목</v>
      </c>
      <c r="M385" s="17" t="str">
        <f>IFERROR(VLOOKUP(B385,공휴일!B:C,2,0),"")</f>
        <v/>
      </c>
    </row>
    <row r="386" spans="2:13" x14ac:dyDescent="0.3">
      <c r="B386" s="142">
        <v>46605</v>
      </c>
      <c r="C386" s="143" t="s">
        <v>12</v>
      </c>
      <c r="D386" s="144"/>
      <c r="E386" s="143" t="s">
        <v>10</v>
      </c>
      <c r="F386" s="144"/>
      <c r="G386" s="147"/>
      <c r="H386" s="148" t="str">
        <f>IF(WORKDAY(B386-1,1,공휴일!$B$4:$B$24)=B386,IF(WORKDAY(B386,1,공휴일!$B$4:$B$24)&lt;&gt;B386+1,"금요일","평일"),IF(WORKDAY(B386,1,공휴일!$B$4:$B$24)&lt;&gt;B386+1,"토요일","일요일"))</f>
        <v>금요일</v>
      </c>
      <c r="I386" s="125" t="str">
        <f t="shared" si="25"/>
        <v>2027-08</v>
      </c>
      <c r="J386" s="93" t="str">
        <f t="shared" si="26"/>
        <v>한문영</v>
      </c>
      <c r="K386" s="93" t="str">
        <f t="shared" si="27"/>
        <v>유진수</v>
      </c>
      <c r="L386" s="16" t="str">
        <f t="shared" si="28"/>
        <v>금</v>
      </c>
      <c r="M386" s="17" t="str">
        <f>IFERROR(VLOOKUP(B386,공휴일!B:C,2,0),"")</f>
        <v/>
      </c>
    </row>
    <row r="387" spans="2:13" x14ac:dyDescent="0.3">
      <c r="B387" s="142">
        <v>46606</v>
      </c>
      <c r="C387" s="143" t="s">
        <v>16</v>
      </c>
      <c r="D387" s="144"/>
      <c r="E387" s="143" t="s">
        <v>20</v>
      </c>
      <c r="F387" s="144"/>
      <c r="G387" s="147"/>
      <c r="H387" s="148" t="str">
        <f>IF(WORKDAY(B387-1,1,공휴일!$B$4:$B$24)=B387,IF(WORKDAY(B387,1,공휴일!$B$4:$B$24)&lt;&gt;B387+1,"금요일","평일"),IF(WORKDAY(B387,1,공휴일!$B$4:$B$24)&lt;&gt;B387+1,"토요일","일요일"))</f>
        <v>토요일</v>
      </c>
      <c r="I387" s="125" t="str">
        <f t="shared" si="25"/>
        <v>2027-08</v>
      </c>
      <c r="J387" s="93" t="str">
        <f t="shared" si="26"/>
        <v>이현숙</v>
      </c>
      <c r="K387" s="93" t="str">
        <f t="shared" si="27"/>
        <v>이원철</v>
      </c>
      <c r="L387" s="16" t="str">
        <f t="shared" si="28"/>
        <v>토</v>
      </c>
      <c r="M387" s="17" t="str">
        <f>IFERROR(VLOOKUP(B387,공휴일!B:C,2,0),"")</f>
        <v/>
      </c>
    </row>
    <row r="388" spans="2:13" x14ac:dyDescent="0.3">
      <c r="B388" s="142">
        <v>46607</v>
      </c>
      <c r="C388" s="143" t="s">
        <v>13</v>
      </c>
      <c r="D388" s="144"/>
      <c r="E388" s="143" t="s">
        <v>21</v>
      </c>
      <c r="F388" s="144"/>
      <c r="G388" s="147"/>
      <c r="H388" s="148" t="str">
        <f>IF(WORKDAY(B388-1,1,공휴일!$B$4:$B$24)=B388,IF(WORKDAY(B388,1,공휴일!$B$4:$B$24)&lt;&gt;B388+1,"금요일","평일"),IF(WORKDAY(B388,1,공휴일!$B$4:$B$24)&lt;&gt;B388+1,"토요일","일요일"))</f>
        <v>일요일</v>
      </c>
      <c r="I388" s="125" t="str">
        <f t="shared" si="25"/>
        <v>2027-08</v>
      </c>
      <c r="J388" s="93" t="str">
        <f t="shared" si="26"/>
        <v>안지영</v>
      </c>
      <c r="K388" s="93" t="str">
        <f t="shared" si="27"/>
        <v>정찬웅</v>
      </c>
      <c r="L388" s="16" t="str">
        <f t="shared" si="28"/>
        <v>일</v>
      </c>
      <c r="M388" s="17" t="str">
        <f>IFERROR(VLOOKUP(B388,공휴일!B:C,2,0),"")</f>
        <v/>
      </c>
    </row>
    <row r="389" spans="2:13" x14ac:dyDescent="0.3">
      <c r="B389" s="142">
        <v>46608</v>
      </c>
      <c r="C389" s="143" t="s">
        <v>41</v>
      </c>
      <c r="D389" s="144"/>
      <c r="E389" s="143" t="s">
        <v>22</v>
      </c>
      <c r="F389" s="144"/>
      <c r="G389" s="147"/>
      <c r="H389" s="148" t="str">
        <f>IF(WORKDAY(B389-1,1,공휴일!$B$4:$B$24)=B389,IF(WORKDAY(B389,1,공휴일!$B$4:$B$24)&lt;&gt;B389+1,"금요일","평일"),IF(WORKDAY(B389,1,공휴일!$B$4:$B$24)&lt;&gt;B389+1,"토요일","일요일"))</f>
        <v>평일</v>
      </c>
      <c r="I389" s="125" t="str">
        <f t="shared" si="25"/>
        <v>2027-08</v>
      </c>
      <c r="J389" s="93" t="str">
        <f t="shared" si="26"/>
        <v>송남철</v>
      </c>
      <c r="K389" s="93" t="str">
        <f t="shared" si="27"/>
        <v>서진호</v>
      </c>
      <c r="L389" s="16" t="str">
        <f t="shared" si="28"/>
        <v>월</v>
      </c>
      <c r="M389" s="17" t="str">
        <f>IFERROR(VLOOKUP(B389,공휴일!B:C,2,0),"")</f>
        <v/>
      </c>
    </row>
    <row r="390" spans="2:13" x14ac:dyDescent="0.3">
      <c r="B390" s="142">
        <v>46609</v>
      </c>
      <c r="C390" s="143" t="s">
        <v>17</v>
      </c>
      <c r="D390" s="144"/>
      <c r="E390" s="143" t="s">
        <v>11</v>
      </c>
      <c r="F390" s="144"/>
      <c r="G390" s="147"/>
      <c r="H390" s="148" t="str">
        <f>IF(WORKDAY(B390-1,1,공휴일!$B$4:$B$24)=B390,IF(WORKDAY(B390,1,공휴일!$B$4:$B$24)&lt;&gt;B390+1,"금요일","평일"),IF(WORKDAY(B390,1,공휴일!$B$4:$B$24)&lt;&gt;B390+1,"토요일","일요일"))</f>
        <v>평일</v>
      </c>
      <c r="I390" s="125" t="str">
        <f t="shared" ref="I390:I453" si="29">TEXT(B390,"yyyy-mm")</f>
        <v>2027-08</v>
      </c>
      <c r="J390" s="93" t="str">
        <f t="shared" si="26"/>
        <v>신혜원</v>
      </c>
      <c r="K390" s="93" t="str">
        <f t="shared" si="27"/>
        <v>장민우</v>
      </c>
      <c r="L390" s="16" t="str">
        <f t="shared" si="28"/>
        <v>화</v>
      </c>
      <c r="M390" s="17" t="str">
        <f>IFERROR(VLOOKUP(B390,공휴일!B:C,2,0),"")</f>
        <v/>
      </c>
    </row>
    <row r="391" spans="2:13" x14ac:dyDescent="0.3">
      <c r="B391" s="142">
        <v>46610</v>
      </c>
      <c r="C391" s="143" t="s">
        <v>40</v>
      </c>
      <c r="D391" s="144"/>
      <c r="E391" s="143" t="s">
        <v>19</v>
      </c>
      <c r="F391" s="144"/>
      <c r="G391" s="147"/>
      <c r="H391" s="148" t="str">
        <f>IF(WORKDAY(B391-1,1,공휴일!$B$4:$B$24)=B391,IF(WORKDAY(B391,1,공휴일!$B$4:$B$24)&lt;&gt;B391+1,"금요일","평일"),IF(WORKDAY(B391,1,공휴일!$B$4:$B$24)&lt;&gt;B391+1,"토요일","일요일"))</f>
        <v>평일</v>
      </c>
      <c r="I391" s="125" t="str">
        <f t="shared" si="29"/>
        <v>2027-08</v>
      </c>
      <c r="J391" s="93" t="str">
        <f t="shared" si="26"/>
        <v>여철호</v>
      </c>
      <c r="K391" s="93" t="str">
        <f t="shared" si="27"/>
        <v>우정수</v>
      </c>
      <c r="L391" s="16" t="str">
        <f t="shared" si="28"/>
        <v>수</v>
      </c>
      <c r="M391" s="17" t="str">
        <f>IFERROR(VLOOKUP(B391,공휴일!B:C,2,0),"")</f>
        <v/>
      </c>
    </row>
    <row r="392" spans="2:13" x14ac:dyDescent="0.3">
      <c r="B392" s="142">
        <v>46611</v>
      </c>
      <c r="C392" s="143" t="s">
        <v>15</v>
      </c>
      <c r="D392" s="144"/>
      <c r="E392" s="143" t="s">
        <v>44</v>
      </c>
      <c r="F392" s="144"/>
      <c r="G392" s="147"/>
      <c r="H392" s="148" t="str">
        <f>IF(WORKDAY(B392-1,1,공휴일!$B$4:$B$24)=B392,IF(WORKDAY(B392,1,공휴일!$B$4:$B$24)&lt;&gt;B392+1,"금요일","평일"),IF(WORKDAY(B392,1,공휴일!$B$4:$B$24)&lt;&gt;B392+1,"토요일","일요일"))</f>
        <v>평일</v>
      </c>
      <c r="I392" s="125" t="str">
        <f t="shared" si="29"/>
        <v>2027-08</v>
      </c>
      <c r="J392" s="93" t="str">
        <f t="shared" si="26"/>
        <v>구민아</v>
      </c>
      <c r="K392" s="93" t="str">
        <f t="shared" si="27"/>
        <v>오기희</v>
      </c>
      <c r="L392" s="16" t="str">
        <f t="shared" si="28"/>
        <v>목</v>
      </c>
      <c r="M392" s="17" t="str">
        <f>IFERROR(VLOOKUP(B392,공휴일!B:C,2,0),"")</f>
        <v/>
      </c>
    </row>
    <row r="393" spans="2:13" x14ac:dyDescent="0.3">
      <c r="B393" s="142">
        <v>46612</v>
      </c>
      <c r="C393" s="143" t="s">
        <v>14</v>
      </c>
      <c r="D393" s="144"/>
      <c r="E393" s="143" t="s">
        <v>18</v>
      </c>
      <c r="F393" s="144"/>
      <c r="G393" s="147"/>
      <c r="H393" s="148" t="str">
        <f>IF(WORKDAY(B393-1,1,공휴일!$B$4:$B$24)=B393,IF(WORKDAY(B393,1,공휴일!$B$4:$B$24)&lt;&gt;B393+1,"금요일","평일"),IF(WORKDAY(B393,1,공휴일!$B$4:$B$24)&lt;&gt;B393+1,"토요일","일요일"))</f>
        <v>금요일</v>
      </c>
      <c r="I393" s="125" t="str">
        <f t="shared" si="29"/>
        <v>2027-08</v>
      </c>
      <c r="J393" s="93" t="str">
        <f t="shared" si="26"/>
        <v>고석규</v>
      </c>
      <c r="K393" s="93" t="str">
        <f t="shared" si="27"/>
        <v>이승현</v>
      </c>
      <c r="L393" s="16" t="str">
        <f t="shared" si="28"/>
        <v>금</v>
      </c>
      <c r="M393" s="17" t="str">
        <f>IFERROR(VLOOKUP(B393,공휴일!B:C,2,0),"")</f>
        <v/>
      </c>
    </row>
    <row r="394" spans="2:13" x14ac:dyDescent="0.3">
      <c r="B394" s="142">
        <v>46613</v>
      </c>
      <c r="C394" s="143" t="s">
        <v>12</v>
      </c>
      <c r="D394" s="144"/>
      <c r="E394" s="143" t="s">
        <v>10</v>
      </c>
      <c r="F394" s="144"/>
      <c r="G394" s="147"/>
      <c r="H394" s="148" t="str">
        <f>IF(WORKDAY(B394-1,1,공휴일!$B$4:$B$24)=B394,IF(WORKDAY(B394,1,공휴일!$B$4:$B$24)&lt;&gt;B394+1,"금요일","평일"),IF(WORKDAY(B394,1,공휴일!$B$4:$B$24)&lt;&gt;B394+1,"토요일","일요일"))</f>
        <v>토요일</v>
      </c>
      <c r="I394" s="125" t="str">
        <f t="shared" si="29"/>
        <v>2027-08</v>
      </c>
      <c r="J394" s="93" t="str">
        <f t="shared" si="26"/>
        <v>한문영</v>
      </c>
      <c r="K394" s="93" t="str">
        <f t="shared" si="27"/>
        <v>유진수</v>
      </c>
      <c r="L394" s="16" t="str">
        <f t="shared" si="28"/>
        <v>토</v>
      </c>
      <c r="M394" s="17" t="str">
        <f>IFERROR(VLOOKUP(B394,공휴일!B:C,2,0),"")</f>
        <v/>
      </c>
    </row>
    <row r="395" spans="2:13" x14ac:dyDescent="0.3">
      <c r="B395" s="142">
        <v>46614</v>
      </c>
      <c r="C395" s="143" t="s">
        <v>16</v>
      </c>
      <c r="D395" s="144"/>
      <c r="E395" s="143" t="s">
        <v>20</v>
      </c>
      <c r="F395" s="144"/>
      <c r="G395" s="147"/>
      <c r="H395" s="148" t="str">
        <f>IF(WORKDAY(B395-1,1,공휴일!$B$4:$B$24)=B395,IF(WORKDAY(B395,1,공휴일!$B$4:$B$24)&lt;&gt;B395+1,"금요일","평일"),IF(WORKDAY(B395,1,공휴일!$B$4:$B$24)&lt;&gt;B395+1,"토요일","일요일"))</f>
        <v>일요일</v>
      </c>
      <c r="I395" s="125" t="str">
        <f t="shared" si="29"/>
        <v>2027-08</v>
      </c>
      <c r="J395" s="93" t="str">
        <f t="shared" si="26"/>
        <v>이현숙</v>
      </c>
      <c r="K395" s="93" t="str">
        <f t="shared" si="27"/>
        <v>이원철</v>
      </c>
      <c r="L395" s="16" t="str">
        <f t="shared" si="28"/>
        <v>일</v>
      </c>
      <c r="M395" s="17" t="str">
        <f>IFERROR(VLOOKUP(B395,공휴일!B:C,2,0),"")</f>
        <v>광복절</v>
      </c>
    </row>
    <row r="396" spans="2:13" x14ac:dyDescent="0.3">
      <c r="B396" s="142">
        <v>46615</v>
      </c>
      <c r="C396" s="143" t="s">
        <v>13</v>
      </c>
      <c r="D396" s="144"/>
      <c r="E396" s="143" t="s">
        <v>21</v>
      </c>
      <c r="F396" s="144"/>
      <c r="G396" s="147"/>
      <c r="H396" s="148" t="str">
        <f>IF(WORKDAY(B396-1,1,공휴일!$B$4:$B$24)=B396,IF(WORKDAY(B396,1,공휴일!$B$4:$B$24)&lt;&gt;B396+1,"금요일","평일"),IF(WORKDAY(B396,1,공휴일!$B$4:$B$24)&lt;&gt;B396+1,"토요일","일요일"))</f>
        <v>평일</v>
      </c>
      <c r="I396" s="125" t="str">
        <f t="shared" si="29"/>
        <v>2027-08</v>
      </c>
      <c r="J396" s="93" t="str">
        <f t="shared" si="26"/>
        <v>안지영</v>
      </c>
      <c r="K396" s="93" t="str">
        <f t="shared" si="27"/>
        <v>정찬웅</v>
      </c>
      <c r="L396" s="16" t="str">
        <f t="shared" si="28"/>
        <v>월</v>
      </c>
      <c r="M396" s="17" t="str">
        <f>IFERROR(VLOOKUP(B396,공휴일!B:C,2,0),"")</f>
        <v>대체공휴일</v>
      </c>
    </row>
    <row r="397" spans="2:13" x14ac:dyDescent="0.3">
      <c r="B397" s="142">
        <v>46616</v>
      </c>
      <c r="C397" s="143" t="s">
        <v>41</v>
      </c>
      <c r="D397" s="144"/>
      <c r="E397" s="143" t="s">
        <v>22</v>
      </c>
      <c r="F397" s="144"/>
      <c r="G397" s="147"/>
      <c r="H397" s="148" t="str">
        <f>IF(WORKDAY(B397-1,1,공휴일!$B$4:$B$24)=B397,IF(WORKDAY(B397,1,공휴일!$B$4:$B$24)&lt;&gt;B397+1,"금요일","평일"),IF(WORKDAY(B397,1,공휴일!$B$4:$B$24)&lt;&gt;B397+1,"토요일","일요일"))</f>
        <v>평일</v>
      </c>
      <c r="I397" s="125" t="str">
        <f t="shared" si="29"/>
        <v>2027-08</v>
      </c>
      <c r="J397" s="93" t="str">
        <f t="shared" si="26"/>
        <v>송남철</v>
      </c>
      <c r="K397" s="93" t="str">
        <f t="shared" si="27"/>
        <v>서진호</v>
      </c>
      <c r="L397" s="16" t="str">
        <f t="shared" si="28"/>
        <v>화</v>
      </c>
      <c r="M397" s="17" t="str">
        <f>IFERROR(VLOOKUP(B397,공휴일!B:C,2,0),"")</f>
        <v/>
      </c>
    </row>
    <row r="398" spans="2:13" x14ac:dyDescent="0.3">
      <c r="B398" s="142">
        <v>46617</v>
      </c>
      <c r="C398" s="143" t="s">
        <v>17</v>
      </c>
      <c r="D398" s="144"/>
      <c r="E398" s="143" t="s">
        <v>11</v>
      </c>
      <c r="F398" s="144"/>
      <c r="G398" s="147"/>
      <c r="H398" s="148" t="str">
        <f>IF(WORKDAY(B398-1,1,공휴일!$B$4:$B$24)=B398,IF(WORKDAY(B398,1,공휴일!$B$4:$B$24)&lt;&gt;B398+1,"금요일","평일"),IF(WORKDAY(B398,1,공휴일!$B$4:$B$24)&lt;&gt;B398+1,"토요일","일요일"))</f>
        <v>평일</v>
      </c>
      <c r="I398" s="125" t="str">
        <f t="shared" si="29"/>
        <v>2027-08</v>
      </c>
      <c r="J398" s="93" t="str">
        <f t="shared" si="26"/>
        <v>신혜원</v>
      </c>
      <c r="K398" s="93" t="str">
        <f t="shared" si="27"/>
        <v>장민우</v>
      </c>
      <c r="L398" s="16" t="str">
        <f t="shared" si="28"/>
        <v>수</v>
      </c>
      <c r="M398" s="17" t="str">
        <f>IFERROR(VLOOKUP(B398,공휴일!B:C,2,0),"")</f>
        <v/>
      </c>
    </row>
    <row r="399" spans="2:13" x14ac:dyDescent="0.3">
      <c r="B399" s="142">
        <v>46618</v>
      </c>
      <c r="C399" s="143" t="s">
        <v>40</v>
      </c>
      <c r="D399" s="144"/>
      <c r="E399" s="143" t="s">
        <v>19</v>
      </c>
      <c r="F399" s="144"/>
      <c r="G399" s="147"/>
      <c r="H399" s="148" t="str">
        <f>IF(WORKDAY(B399-1,1,공휴일!$B$4:$B$24)=B399,IF(WORKDAY(B399,1,공휴일!$B$4:$B$24)&lt;&gt;B399+1,"금요일","평일"),IF(WORKDAY(B399,1,공휴일!$B$4:$B$24)&lt;&gt;B399+1,"토요일","일요일"))</f>
        <v>평일</v>
      </c>
      <c r="I399" s="125" t="str">
        <f t="shared" si="29"/>
        <v>2027-08</v>
      </c>
      <c r="J399" s="93" t="str">
        <f t="shared" si="26"/>
        <v>여철호</v>
      </c>
      <c r="K399" s="93" t="str">
        <f t="shared" si="27"/>
        <v>우정수</v>
      </c>
      <c r="L399" s="16" t="str">
        <f t="shared" si="28"/>
        <v>목</v>
      </c>
      <c r="M399" s="17" t="str">
        <f>IFERROR(VLOOKUP(B399,공휴일!B:C,2,0),"")</f>
        <v/>
      </c>
    </row>
    <row r="400" spans="2:13" x14ac:dyDescent="0.3">
      <c r="B400" s="142">
        <v>46619</v>
      </c>
      <c r="C400" s="143" t="s">
        <v>15</v>
      </c>
      <c r="D400" s="144"/>
      <c r="E400" s="143" t="s">
        <v>44</v>
      </c>
      <c r="F400" s="144"/>
      <c r="G400" s="147"/>
      <c r="H400" s="148" t="str">
        <f>IF(WORKDAY(B400-1,1,공휴일!$B$4:$B$24)=B400,IF(WORKDAY(B400,1,공휴일!$B$4:$B$24)&lt;&gt;B400+1,"금요일","평일"),IF(WORKDAY(B400,1,공휴일!$B$4:$B$24)&lt;&gt;B400+1,"토요일","일요일"))</f>
        <v>금요일</v>
      </c>
      <c r="I400" s="125" t="str">
        <f t="shared" si="29"/>
        <v>2027-08</v>
      </c>
      <c r="J400" s="93" t="str">
        <f t="shared" si="26"/>
        <v>구민아</v>
      </c>
      <c r="K400" s="93" t="str">
        <f t="shared" si="27"/>
        <v>오기희</v>
      </c>
      <c r="L400" s="16" t="str">
        <f t="shared" si="28"/>
        <v>금</v>
      </c>
      <c r="M400" s="17" t="str">
        <f>IFERROR(VLOOKUP(B400,공휴일!B:C,2,0),"")</f>
        <v/>
      </c>
    </row>
    <row r="401" spans="2:13" x14ac:dyDescent="0.3">
      <c r="B401" s="142">
        <v>46620</v>
      </c>
      <c r="C401" s="143" t="s">
        <v>14</v>
      </c>
      <c r="D401" s="144"/>
      <c r="E401" s="143" t="s">
        <v>18</v>
      </c>
      <c r="F401" s="144"/>
      <c r="G401" s="147"/>
      <c r="H401" s="148" t="str">
        <f>IF(WORKDAY(B401-1,1,공휴일!$B$4:$B$24)=B401,IF(WORKDAY(B401,1,공휴일!$B$4:$B$24)&lt;&gt;B401+1,"금요일","평일"),IF(WORKDAY(B401,1,공휴일!$B$4:$B$24)&lt;&gt;B401+1,"토요일","일요일"))</f>
        <v>토요일</v>
      </c>
      <c r="I401" s="125" t="str">
        <f t="shared" si="29"/>
        <v>2027-08</v>
      </c>
      <c r="J401" s="93" t="str">
        <f t="shared" si="26"/>
        <v>고석규</v>
      </c>
      <c r="K401" s="93" t="str">
        <f t="shared" si="27"/>
        <v>이승현</v>
      </c>
      <c r="L401" s="16" t="str">
        <f t="shared" si="28"/>
        <v>토</v>
      </c>
      <c r="M401" s="17" t="str">
        <f>IFERROR(VLOOKUP(B401,공휴일!B:C,2,0),"")</f>
        <v/>
      </c>
    </row>
    <row r="402" spans="2:13" x14ac:dyDescent="0.3">
      <c r="B402" s="142">
        <v>46621</v>
      </c>
      <c r="C402" s="143" t="s">
        <v>12</v>
      </c>
      <c r="D402" s="144"/>
      <c r="E402" s="143" t="s">
        <v>10</v>
      </c>
      <c r="F402" s="144"/>
      <c r="G402" s="147"/>
      <c r="H402" s="148" t="str">
        <f>IF(WORKDAY(B402-1,1,공휴일!$B$4:$B$24)=B402,IF(WORKDAY(B402,1,공휴일!$B$4:$B$24)&lt;&gt;B402+1,"금요일","평일"),IF(WORKDAY(B402,1,공휴일!$B$4:$B$24)&lt;&gt;B402+1,"토요일","일요일"))</f>
        <v>일요일</v>
      </c>
      <c r="I402" s="125" t="str">
        <f t="shared" si="29"/>
        <v>2027-08</v>
      </c>
      <c r="J402" s="93" t="str">
        <f t="shared" si="26"/>
        <v>한문영</v>
      </c>
      <c r="K402" s="93" t="str">
        <f t="shared" si="27"/>
        <v>유진수</v>
      </c>
      <c r="L402" s="16" t="str">
        <f t="shared" si="28"/>
        <v>일</v>
      </c>
      <c r="M402" s="17" t="str">
        <f>IFERROR(VLOOKUP(B402,공휴일!B:C,2,0),"")</f>
        <v/>
      </c>
    </row>
    <row r="403" spans="2:13" x14ac:dyDescent="0.3">
      <c r="B403" s="142">
        <v>46622</v>
      </c>
      <c r="C403" s="143" t="s">
        <v>16</v>
      </c>
      <c r="D403" s="144"/>
      <c r="E403" s="143" t="s">
        <v>20</v>
      </c>
      <c r="F403" s="144"/>
      <c r="G403" s="147"/>
      <c r="H403" s="148" t="str">
        <f>IF(WORKDAY(B403-1,1,공휴일!$B$4:$B$24)=B403,IF(WORKDAY(B403,1,공휴일!$B$4:$B$24)&lt;&gt;B403+1,"금요일","평일"),IF(WORKDAY(B403,1,공휴일!$B$4:$B$24)&lt;&gt;B403+1,"토요일","일요일"))</f>
        <v>평일</v>
      </c>
      <c r="I403" s="125" t="str">
        <f t="shared" si="29"/>
        <v>2027-08</v>
      </c>
      <c r="J403" s="93" t="str">
        <f t="shared" si="26"/>
        <v>이현숙</v>
      </c>
      <c r="K403" s="93" t="str">
        <f t="shared" si="27"/>
        <v>이원철</v>
      </c>
      <c r="L403" s="16" t="str">
        <f t="shared" si="28"/>
        <v>월</v>
      </c>
      <c r="M403" s="17" t="str">
        <f>IFERROR(VLOOKUP(B403,공휴일!B:C,2,0),"")</f>
        <v/>
      </c>
    </row>
    <row r="404" spans="2:13" x14ac:dyDescent="0.3">
      <c r="B404" s="142">
        <v>46623</v>
      </c>
      <c r="C404" s="143" t="s">
        <v>13</v>
      </c>
      <c r="D404" s="144"/>
      <c r="E404" s="143" t="s">
        <v>21</v>
      </c>
      <c r="F404" s="144"/>
      <c r="G404" s="147"/>
      <c r="H404" s="148" t="str">
        <f>IF(WORKDAY(B404-1,1,공휴일!$B$4:$B$24)=B404,IF(WORKDAY(B404,1,공휴일!$B$4:$B$24)&lt;&gt;B404+1,"금요일","평일"),IF(WORKDAY(B404,1,공휴일!$B$4:$B$24)&lt;&gt;B404+1,"토요일","일요일"))</f>
        <v>평일</v>
      </c>
      <c r="I404" s="125" t="str">
        <f t="shared" si="29"/>
        <v>2027-08</v>
      </c>
      <c r="J404" s="93" t="str">
        <f t="shared" si="26"/>
        <v>안지영</v>
      </c>
      <c r="K404" s="93" t="str">
        <f t="shared" si="27"/>
        <v>정찬웅</v>
      </c>
      <c r="L404" s="16" t="str">
        <f t="shared" si="28"/>
        <v>화</v>
      </c>
      <c r="M404" s="17" t="str">
        <f>IFERROR(VLOOKUP(B404,공휴일!B:C,2,0),"")</f>
        <v/>
      </c>
    </row>
    <row r="405" spans="2:13" x14ac:dyDescent="0.3">
      <c r="B405" s="142">
        <v>46624</v>
      </c>
      <c r="C405" s="143" t="s">
        <v>41</v>
      </c>
      <c r="D405" s="144"/>
      <c r="E405" s="143" t="s">
        <v>22</v>
      </c>
      <c r="F405" s="144"/>
      <c r="G405" s="147"/>
      <c r="H405" s="148" t="str">
        <f>IF(WORKDAY(B405-1,1,공휴일!$B$4:$B$24)=B405,IF(WORKDAY(B405,1,공휴일!$B$4:$B$24)&lt;&gt;B405+1,"금요일","평일"),IF(WORKDAY(B405,1,공휴일!$B$4:$B$24)&lt;&gt;B405+1,"토요일","일요일"))</f>
        <v>평일</v>
      </c>
      <c r="I405" s="125" t="str">
        <f t="shared" si="29"/>
        <v>2027-08</v>
      </c>
      <c r="J405" s="93" t="str">
        <f t="shared" si="26"/>
        <v>송남철</v>
      </c>
      <c r="K405" s="93" t="str">
        <f t="shared" si="27"/>
        <v>서진호</v>
      </c>
      <c r="L405" s="16" t="str">
        <f t="shared" si="28"/>
        <v>수</v>
      </c>
      <c r="M405" s="17" t="str">
        <f>IFERROR(VLOOKUP(B405,공휴일!B:C,2,0),"")</f>
        <v/>
      </c>
    </row>
    <row r="406" spans="2:13" x14ac:dyDescent="0.3">
      <c r="B406" s="142">
        <v>46625</v>
      </c>
      <c r="C406" s="143" t="s">
        <v>17</v>
      </c>
      <c r="D406" s="144"/>
      <c r="E406" s="143" t="s">
        <v>11</v>
      </c>
      <c r="F406" s="144"/>
      <c r="G406" s="147"/>
      <c r="H406" s="148" t="str">
        <f>IF(WORKDAY(B406-1,1,공휴일!$B$4:$B$24)=B406,IF(WORKDAY(B406,1,공휴일!$B$4:$B$24)&lt;&gt;B406+1,"금요일","평일"),IF(WORKDAY(B406,1,공휴일!$B$4:$B$24)&lt;&gt;B406+1,"토요일","일요일"))</f>
        <v>평일</v>
      </c>
      <c r="I406" s="125" t="str">
        <f t="shared" si="29"/>
        <v>2027-08</v>
      </c>
      <c r="J406" s="93" t="str">
        <f t="shared" si="26"/>
        <v>신혜원</v>
      </c>
      <c r="K406" s="93" t="str">
        <f t="shared" si="27"/>
        <v>장민우</v>
      </c>
      <c r="L406" s="16" t="str">
        <f t="shared" si="28"/>
        <v>목</v>
      </c>
      <c r="M406" s="17" t="str">
        <f>IFERROR(VLOOKUP(B406,공휴일!B:C,2,0),"")</f>
        <v/>
      </c>
    </row>
    <row r="407" spans="2:13" x14ac:dyDescent="0.3">
      <c r="B407" s="142">
        <v>46626</v>
      </c>
      <c r="C407" s="143" t="s">
        <v>40</v>
      </c>
      <c r="D407" s="144"/>
      <c r="E407" s="143" t="s">
        <v>19</v>
      </c>
      <c r="F407" s="144"/>
      <c r="G407" s="147"/>
      <c r="H407" s="148" t="str">
        <f>IF(WORKDAY(B407-1,1,공휴일!$B$4:$B$24)=B407,IF(WORKDAY(B407,1,공휴일!$B$4:$B$24)&lt;&gt;B407+1,"금요일","평일"),IF(WORKDAY(B407,1,공휴일!$B$4:$B$24)&lt;&gt;B407+1,"토요일","일요일"))</f>
        <v>금요일</v>
      </c>
      <c r="I407" s="125" t="str">
        <f t="shared" si="29"/>
        <v>2027-08</v>
      </c>
      <c r="J407" s="93" t="str">
        <f t="shared" si="26"/>
        <v>여철호</v>
      </c>
      <c r="K407" s="93" t="str">
        <f t="shared" si="27"/>
        <v>우정수</v>
      </c>
      <c r="L407" s="16" t="str">
        <f t="shared" si="28"/>
        <v>금</v>
      </c>
      <c r="M407" s="17" t="str">
        <f>IFERROR(VLOOKUP(B407,공휴일!B:C,2,0),"")</f>
        <v/>
      </c>
    </row>
    <row r="408" spans="2:13" x14ac:dyDescent="0.3">
      <c r="B408" s="142">
        <v>46627</v>
      </c>
      <c r="C408" s="143" t="s">
        <v>15</v>
      </c>
      <c r="D408" s="144"/>
      <c r="E408" s="143" t="s">
        <v>44</v>
      </c>
      <c r="F408" s="144"/>
      <c r="G408" s="147"/>
      <c r="H408" s="148" t="str">
        <f>IF(WORKDAY(B408-1,1,공휴일!$B$4:$B$24)=B408,IF(WORKDAY(B408,1,공휴일!$B$4:$B$24)&lt;&gt;B408+1,"금요일","평일"),IF(WORKDAY(B408,1,공휴일!$B$4:$B$24)&lt;&gt;B408+1,"토요일","일요일"))</f>
        <v>토요일</v>
      </c>
      <c r="I408" s="125" t="str">
        <f t="shared" si="29"/>
        <v>2027-08</v>
      </c>
      <c r="J408" s="93" t="str">
        <f t="shared" si="26"/>
        <v>구민아</v>
      </c>
      <c r="K408" s="93" t="str">
        <f t="shared" si="27"/>
        <v>오기희</v>
      </c>
      <c r="L408" s="16" t="str">
        <f t="shared" si="28"/>
        <v>토</v>
      </c>
      <c r="M408" s="17" t="str">
        <f>IFERROR(VLOOKUP(B408,공휴일!B:C,2,0),"")</f>
        <v/>
      </c>
    </row>
    <row r="409" spans="2:13" x14ac:dyDescent="0.3">
      <c r="B409" s="142">
        <v>46628</v>
      </c>
      <c r="C409" s="143" t="s">
        <v>14</v>
      </c>
      <c r="D409" s="144"/>
      <c r="E409" s="143" t="s">
        <v>18</v>
      </c>
      <c r="F409" s="144"/>
      <c r="G409" s="147"/>
      <c r="H409" s="148" t="str">
        <f>IF(WORKDAY(B409-1,1,공휴일!$B$4:$B$24)=B409,IF(WORKDAY(B409,1,공휴일!$B$4:$B$24)&lt;&gt;B409+1,"금요일","평일"),IF(WORKDAY(B409,1,공휴일!$B$4:$B$24)&lt;&gt;B409+1,"토요일","일요일"))</f>
        <v>일요일</v>
      </c>
      <c r="I409" s="125" t="str">
        <f t="shared" si="29"/>
        <v>2027-08</v>
      </c>
      <c r="J409" s="93" t="str">
        <f t="shared" si="26"/>
        <v>고석규</v>
      </c>
      <c r="K409" s="93" t="str">
        <f t="shared" si="27"/>
        <v>이승현</v>
      </c>
      <c r="L409" s="16" t="str">
        <f t="shared" si="28"/>
        <v>일</v>
      </c>
      <c r="M409" s="17" t="str">
        <f>IFERROR(VLOOKUP(B409,공휴일!B:C,2,0),"")</f>
        <v/>
      </c>
    </row>
    <row r="410" spans="2:13" x14ac:dyDescent="0.3">
      <c r="B410" s="142">
        <v>46629</v>
      </c>
      <c r="C410" s="143" t="s">
        <v>12</v>
      </c>
      <c r="D410" s="144"/>
      <c r="E410" s="143" t="s">
        <v>10</v>
      </c>
      <c r="F410" s="144"/>
      <c r="G410" s="147"/>
      <c r="H410" s="148" t="str">
        <f>IF(WORKDAY(B410-1,1,공휴일!$B$4:$B$24)=B410,IF(WORKDAY(B410,1,공휴일!$B$4:$B$24)&lt;&gt;B410+1,"금요일","평일"),IF(WORKDAY(B410,1,공휴일!$B$4:$B$24)&lt;&gt;B410+1,"토요일","일요일"))</f>
        <v>평일</v>
      </c>
      <c r="I410" s="125" t="str">
        <f t="shared" si="29"/>
        <v>2027-08</v>
      </c>
      <c r="J410" s="93" t="str">
        <f t="shared" si="26"/>
        <v>한문영</v>
      </c>
      <c r="K410" s="93" t="str">
        <f t="shared" si="27"/>
        <v>유진수</v>
      </c>
      <c r="L410" s="16" t="str">
        <f t="shared" si="28"/>
        <v>월</v>
      </c>
      <c r="M410" s="17" t="str">
        <f>IFERROR(VLOOKUP(B410,공휴일!B:C,2,0),"")</f>
        <v/>
      </c>
    </row>
    <row r="411" spans="2:13" x14ac:dyDescent="0.3">
      <c r="B411" s="142">
        <v>46630</v>
      </c>
      <c r="C411" s="143" t="s">
        <v>16</v>
      </c>
      <c r="D411" s="144"/>
      <c r="E411" s="143" t="s">
        <v>20</v>
      </c>
      <c r="F411" s="144"/>
      <c r="G411" s="147"/>
      <c r="H411" s="148" t="str">
        <f>IF(WORKDAY(B411-1,1,공휴일!$B$4:$B$24)=B411,IF(WORKDAY(B411,1,공휴일!$B$4:$B$24)&lt;&gt;B411+1,"금요일","평일"),IF(WORKDAY(B411,1,공휴일!$B$4:$B$24)&lt;&gt;B411+1,"토요일","일요일"))</f>
        <v>평일</v>
      </c>
      <c r="I411" s="125" t="str">
        <f t="shared" si="29"/>
        <v>2027-08</v>
      </c>
      <c r="J411" s="93" t="str">
        <f t="shared" si="26"/>
        <v>이현숙</v>
      </c>
      <c r="K411" s="93" t="str">
        <f t="shared" si="27"/>
        <v>이원철</v>
      </c>
      <c r="L411" s="16" t="str">
        <f t="shared" si="28"/>
        <v>화</v>
      </c>
      <c r="M411" s="17" t="str">
        <f>IFERROR(VLOOKUP(B411,공휴일!B:C,2,0),"")</f>
        <v/>
      </c>
    </row>
    <row r="412" spans="2:13" x14ac:dyDescent="0.3">
      <c r="B412" s="142">
        <v>46631</v>
      </c>
      <c r="C412" s="143" t="s">
        <v>13</v>
      </c>
      <c r="D412" s="144"/>
      <c r="E412" s="143" t="s">
        <v>21</v>
      </c>
      <c r="F412" s="144"/>
      <c r="G412" s="147"/>
      <c r="H412" s="148" t="str">
        <f>IF(WORKDAY(B412-1,1,공휴일!$B$4:$B$24)=B412,IF(WORKDAY(B412,1,공휴일!$B$4:$B$24)&lt;&gt;B412+1,"금요일","평일"),IF(WORKDAY(B412,1,공휴일!$B$4:$B$24)&lt;&gt;B412+1,"토요일","일요일"))</f>
        <v>평일</v>
      </c>
      <c r="I412" s="125" t="str">
        <f t="shared" si="29"/>
        <v>2027-09</v>
      </c>
      <c r="J412" s="93" t="str">
        <f t="shared" si="26"/>
        <v>안지영</v>
      </c>
      <c r="K412" s="93" t="str">
        <f t="shared" si="27"/>
        <v>정찬웅</v>
      </c>
      <c r="L412" s="16" t="str">
        <f t="shared" si="28"/>
        <v>수</v>
      </c>
      <c r="M412" s="17" t="str">
        <f>IFERROR(VLOOKUP(B412,공휴일!B:C,2,0),"")</f>
        <v/>
      </c>
    </row>
    <row r="413" spans="2:13" x14ac:dyDescent="0.3">
      <c r="B413" s="142">
        <v>46632</v>
      </c>
      <c r="C413" s="143" t="s">
        <v>41</v>
      </c>
      <c r="D413" s="144"/>
      <c r="E413" s="143" t="s">
        <v>22</v>
      </c>
      <c r="F413" s="144"/>
      <c r="G413" s="147"/>
      <c r="H413" s="148" t="str">
        <f>IF(WORKDAY(B413-1,1,공휴일!$B$4:$B$24)=B413,IF(WORKDAY(B413,1,공휴일!$B$4:$B$24)&lt;&gt;B413+1,"금요일","평일"),IF(WORKDAY(B413,1,공휴일!$B$4:$B$24)&lt;&gt;B413+1,"토요일","일요일"))</f>
        <v>평일</v>
      </c>
      <c r="I413" s="125" t="str">
        <f t="shared" si="29"/>
        <v>2027-09</v>
      </c>
      <c r="J413" s="93" t="str">
        <f t="shared" si="26"/>
        <v>송남철</v>
      </c>
      <c r="K413" s="93" t="str">
        <f t="shared" si="27"/>
        <v>서진호</v>
      </c>
      <c r="L413" s="16" t="str">
        <f t="shared" si="28"/>
        <v>목</v>
      </c>
      <c r="M413" s="17" t="str">
        <f>IFERROR(VLOOKUP(B413,공휴일!B:C,2,0),"")</f>
        <v/>
      </c>
    </row>
    <row r="414" spans="2:13" x14ac:dyDescent="0.3">
      <c r="B414" s="142">
        <v>46633</v>
      </c>
      <c r="C414" s="143" t="s">
        <v>17</v>
      </c>
      <c r="D414" s="144"/>
      <c r="E414" s="143" t="s">
        <v>11</v>
      </c>
      <c r="F414" s="144"/>
      <c r="G414" s="147"/>
      <c r="H414" s="148" t="str">
        <f>IF(WORKDAY(B414-1,1,공휴일!$B$4:$B$24)=B414,IF(WORKDAY(B414,1,공휴일!$B$4:$B$24)&lt;&gt;B414+1,"금요일","평일"),IF(WORKDAY(B414,1,공휴일!$B$4:$B$24)&lt;&gt;B414+1,"토요일","일요일"))</f>
        <v>금요일</v>
      </c>
      <c r="I414" s="125" t="str">
        <f t="shared" si="29"/>
        <v>2027-09</v>
      </c>
      <c r="J414" s="93" t="str">
        <f t="shared" si="26"/>
        <v>신혜원</v>
      </c>
      <c r="K414" s="93" t="str">
        <f t="shared" si="27"/>
        <v>장민우</v>
      </c>
      <c r="L414" s="16" t="str">
        <f t="shared" si="28"/>
        <v>금</v>
      </c>
      <c r="M414" s="17" t="str">
        <f>IFERROR(VLOOKUP(B414,공휴일!B:C,2,0),"")</f>
        <v/>
      </c>
    </row>
    <row r="415" spans="2:13" x14ac:dyDescent="0.3">
      <c r="B415" s="142">
        <v>46634</v>
      </c>
      <c r="C415" s="143" t="s">
        <v>40</v>
      </c>
      <c r="D415" s="144"/>
      <c r="E415" s="143" t="s">
        <v>19</v>
      </c>
      <c r="F415" s="144"/>
      <c r="G415" s="147"/>
      <c r="H415" s="148" t="str">
        <f>IF(WORKDAY(B415-1,1,공휴일!$B$4:$B$24)=B415,IF(WORKDAY(B415,1,공휴일!$B$4:$B$24)&lt;&gt;B415+1,"금요일","평일"),IF(WORKDAY(B415,1,공휴일!$B$4:$B$24)&lt;&gt;B415+1,"토요일","일요일"))</f>
        <v>토요일</v>
      </c>
      <c r="I415" s="125" t="str">
        <f t="shared" si="29"/>
        <v>2027-09</v>
      </c>
      <c r="J415" s="93" t="str">
        <f t="shared" si="26"/>
        <v>여철호</v>
      </c>
      <c r="K415" s="93" t="str">
        <f t="shared" si="27"/>
        <v>우정수</v>
      </c>
      <c r="L415" s="16" t="str">
        <f t="shared" si="28"/>
        <v>토</v>
      </c>
      <c r="M415" s="17" t="str">
        <f>IFERROR(VLOOKUP(B415,공휴일!B:C,2,0),"")</f>
        <v/>
      </c>
    </row>
    <row r="416" spans="2:13" x14ac:dyDescent="0.3">
      <c r="B416" s="142">
        <v>46635</v>
      </c>
      <c r="C416" s="143" t="s">
        <v>15</v>
      </c>
      <c r="D416" s="144"/>
      <c r="E416" s="143" t="s">
        <v>44</v>
      </c>
      <c r="F416" s="144"/>
      <c r="G416" s="147"/>
      <c r="H416" s="148" t="str">
        <f>IF(WORKDAY(B416-1,1,공휴일!$B$4:$B$24)=B416,IF(WORKDAY(B416,1,공휴일!$B$4:$B$24)&lt;&gt;B416+1,"금요일","평일"),IF(WORKDAY(B416,1,공휴일!$B$4:$B$24)&lt;&gt;B416+1,"토요일","일요일"))</f>
        <v>일요일</v>
      </c>
      <c r="I416" s="125" t="str">
        <f t="shared" si="29"/>
        <v>2027-09</v>
      </c>
      <c r="J416" s="93" t="str">
        <f t="shared" si="26"/>
        <v>구민아</v>
      </c>
      <c r="K416" s="93" t="str">
        <f t="shared" si="27"/>
        <v>오기희</v>
      </c>
      <c r="L416" s="16" t="str">
        <f t="shared" si="28"/>
        <v>일</v>
      </c>
      <c r="M416" s="17" t="str">
        <f>IFERROR(VLOOKUP(B416,공휴일!B:C,2,0),"")</f>
        <v/>
      </c>
    </row>
    <row r="417" spans="2:13" x14ac:dyDescent="0.3">
      <c r="B417" s="142">
        <v>46636</v>
      </c>
      <c r="C417" s="143" t="s">
        <v>14</v>
      </c>
      <c r="D417" s="144"/>
      <c r="E417" s="143" t="s">
        <v>18</v>
      </c>
      <c r="F417" s="144"/>
      <c r="G417" s="147"/>
      <c r="H417" s="148" t="str">
        <f>IF(WORKDAY(B417-1,1,공휴일!$B$4:$B$24)=B417,IF(WORKDAY(B417,1,공휴일!$B$4:$B$24)&lt;&gt;B417+1,"금요일","평일"),IF(WORKDAY(B417,1,공휴일!$B$4:$B$24)&lt;&gt;B417+1,"토요일","일요일"))</f>
        <v>평일</v>
      </c>
      <c r="I417" s="125" t="str">
        <f t="shared" si="29"/>
        <v>2027-09</v>
      </c>
      <c r="J417" s="93" t="str">
        <f t="shared" si="26"/>
        <v>고석규</v>
      </c>
      <c r="K417" s="93" t="str">
        <f t="shared" si="27"/>
        <v>이승현</v>
      </c>
      <c r="L417" s="16" t="str">
        <f t="shared" si="28"/>
        <v>월</v>
      </c>
      <c r="M417" s="17" t="str">
        <f>IFERROR(VLOOKUP(B417,공휴일!B:C,2,0),"")</f>
        <v/>
      </c>
    </row>
    <row r="418" spans="2:13" x14ac:dyDescent="0.3">
      <c r="B418" s="142">
        <v>46637</v>
      </c>
      <c r="C418" s="143" t="s">
        <v>12</v>
      </c>
      <c r="D418" s="144"/>
      <c r="E418" s="143" t="s">
        <v>10</v>
      </c>
      <c r="F418" s="144"/>
      <c r="G418" s="147"/>
      <c r="H418" s="148" t="str">
        <f>IF(WORKDAY(B418-1,1,공휴일!$B$4:$B$24)=B418,IF(WORKDAY(B418,1,공휴일!$B$4:$B$24)&lt;&gt;B418+1,"금요일","평일"),IF(WORKDAY(B418,1,공휴일!$B$4:$B$24)&lt;&gt;B418+1,"토요일","일요일"))</f>
        <v>평일</v>
      </c>
      <c r="I418" s="125" t="str">
        <f t="shared" si="29"/>
        <v>2027-09</v>
      </c>
      <c r="J418" s="93" t="str">
        <f t="shared" si="26"/>
        <v>한문영</v>
      </c>
      <c r="K418" s="93" t="str">
        <f t="shared" si="27"/>
        <v>유진수</v>
      </c>
      <c r="L418" s="16" t="str">
        <f t="shared" si="28"/>
        <v>화</v>
      </c>
      <c r="M418" s="17" t="str">
        <f>IFERROR(VLOOKUP(B418,공휴일!B:C,2,0),"")</f>
        <v/>
      </c>
    </row>
    <row r="419" spans="2:13" x14ac:dyDescent="0.3">
      <c r="B419" s="142">
        <v>46638</v>
      </c>
      <c r="C419" s="143" t="s">
        <v>16</v>
      </c>
      <c r="D419" s="144"/>
      <c r="E419" s="143" t="s">
        <v>20</v>
      </c>
      <c r="F419" s="144"/>
      <c r="G419" s="147"/>
      <c r="H419" s="148" t="str">
        <f>IF(WORKDAY(B419-1,1,공휴일!$B$4:$B$24)=B419,IF(WORKDAY(B419,1,공휴일!$B$4:$B$24)&lt;&gt;B419+1,"금요일","평일"),IF(WORKDAY(B419,1,공휴일!$B$4:$B$24)&lt;&gt;B419+1,"토요일","일요일"))</f>
        <v>평일</v>
      </c>
      <c r="I419" s="125" t="str">
        <f t="shared" si="29"/>
        <v>2027-09</v>
      </c>
      <c r="J419" s="93" t="str">
        <f t="shared" si="26"/>
        <v>이현숙</v>
      </c>
      <c r="K419" s="93" t="str">
        <f t="shared" si="27"/>
        <v>이원철</v>
      </c>
      <c r="L419" s="16" t="str">
        <f t="shared" si="28"/>
        <v>수</v>
      </c>
      <c r="M419" s="17" t="str">
        <f>IFERROR(VLOOKUP(B419,공휴일!B:C,2,0),"")</f>
        <v/>
      </c>
    </row>
    <row r="420" spans="2:13" x14ac:dyDescent="0.3">
      <c r="B420" s="142">
        <v>46639</v>
      </c>
      <c r="C420" s="143" t="s">
        <v>13</v>
      </c>
      <c r="D420" s="144"/>
      <c r="E420" s="143" t="s">
        <v>21</v>
      </c>
      <c r="F420" s="144"/>
      <c r="G420" s="147"/>
      <c r="H420" s="148" t="str">
        <f>IF(WORKDAY(B420-1,1,공휴일!$B$4:$B$24)=B420,IF(WORKDAY(B420,1,공휴일!$B$4:$B$24)&lt;&gt;B420+1,"금요일","평일"),IF(WORKDAY(B420,1,공휴일!$B$4:$B$24)&lt;&gt;B420+1,"토요일","일요일"))</f>
        <v>평일</v>
      </c>
      <c r="I420" s="125" t="str">
        <f t="shared" si="29"/>
        <v>2027-09</v>
      </c>
      <c r="J420" s="93" t="str">
        <f t="shared" si="26"/>
        <v>안지영</v>
      </c>
      <c r="K420" s="93" t="str">
        <f t="shared" si="27"/>
        <v>정찬웅</v>
      </c>
      <c r="L420" s="16" t="str">
        <f t="shared" si="28"/>
        <v>목</v>
      </c>
      <c r="M420" s="17" t="str">
        <f>IFERROR(VLOOKUP(B420,공휴일!B:C,2,0),"")</f>
        <v/>
      </c>
    </row>
    <row r="421" spans="2:13" x14ac:dyDescent="0.3">
      <c r="B421" s="142">
        <v>46640</v>
      </c>
      <c r="C421" s="143" t="s">
        <v>41</v>
      </c>
      <c r="D421" s="144"/>
      <c r="E421" s="143" t="s">
        <v>22</v>
      </c>
      <c r="F421" s="144"/>
      <c r="G421" s="147"/>
      <c r="H421" s="148" t="str">
        <f>IF(WORKDAY(B421-1,1,공휴일!$B$4:$B$24)=B421,IF(WORKDAY(B421,1,공휴일!$B$4:$B$24)&lt;&gt;B421+1,"금요일","평일"),IF(WORKDAY(B421,1,공휴일!$B$4:$B$24)&lt;&gt;B421+1,"토요일","일요일"))</f>
        <v>금요일</v>
      </c>
      <c r="I421" s="125" t="str">
        <f t="shared" si="29"/>
        <v>2027-09</v>
      </c>
      <c r="J421" s="93" t="str">
        <f t="shared" si="26"/>
        <v>송남철</v>
      </c>
      <c r="K421" s="93" t="str">
        <f t="shared" si="27"/>
        <v>서진호</v>
      </c>
      <c r="L421" s="16" t="str">
        <f t="shared" si="28"/>
        <v>금</v>
      </c>
      <c r="M421" s="17" t="str">
        <f>IFERROR(VLOOKUP(B421,공휴일!B:C,2,0),"")</f>
        <v/>
      </c>
    </row>
    <row r="422" spans="2:13" x14ac:dyDescent="0.3">
      <c r="B422" s="142">
        <v>46641</v>
      </c>
      <c r="C422" s="143" t="s">
        <v>17</v>
      </c>
      <c r="D422" s="144"/>
      <c r="E422" s="143" t="s">
        <v>11</v>
      </c>
      <c r="F422" s="144"/>
      <c r="G422" s="147"/>
      <c r="H422" s="148" t="str">
        <f>IF(WORKDAY(B422-1,1,공휴일!$B$4:$B$24)=B422,IF(WORKDAY(B422,1,공휴일!$B$4:$B$24)&lt;&gt;B422+1,"금요일","평일"),IF(WORKDAY(B422,1,공휴일!$B$4:$B$24)&lt;&gt;B422+1,"토요일","일요일"))</f>
        <v>토요일</v>
      </c>
      <c r="I422" s="125" t="str">
        <f t="shared" si="29"/>
        <v>2027-09</v>
      </c>
      <c r="J422" s="93" t="str">
        <f t="shared" si="26"/>
        <v>신혜원</v>
      </c>
      <c r="K422" s="93" t="str">
        <f t="shared" si="27"/>
        <v>장민우</v>
      </c>
      <c r="L422" s="16" t="str">
        <f t="shared" si="28"/>
        <v>토</v>
      </c>
      <c r="M422" s="17" t="str">
        <f>IFERROR(VLOOKUP(B422,공휴일!B:C,2,0),"")</f>
        <v/>
      </c>
    </row>
    <row r="423" spans="2:13" x14ac:dyDescent="0.3">
      <c r="B423" s="142">
        <v>46642</v>
      </c>
      <c r="C423" s="143" t="s">
        <v>40</v>
      </c>
      <c r="D423" s="144"/>
      <c r="E423" s="143" t="s">
        <v>19</v>
      </c>
      <c r="F423" s="144"/>
      <c r="G423" s="147"/>
      <c r="H423" s="148" t="str">
        <f>IF(WORKDAY(B423-1,1,공휴일!$B$4:$B$24)=B423,IF(WORKDAY(B423,1,공휴일!$B$4:$B$24)&lt;&gt;B423+1,"금요일","평일"),IF(WORKDAY(B423,1,공휴일!$B$4:$B$24)&lt;&gt;B423+1,"토요일","일요일"))</f>
        <v>일요일</v>
      </c>
      <c r="I423" s="125" t="str">
        <f t="shared" si="29"/>
        <v>2027-09</v>
      </c>
      <c r="J423" s="93" t="str">
        <f t="shared" si="26"/>
        <v>여철호</v>
      </c>
      <c r="K423" s="93" t="str">
        <f t="shared" si="27"/>
        <v>우정수</v>
      </c>
      <c r="L423" s="16" t="str">
        <f t="shared" si="28"/>
        <v>일</v>
      </c>
      <c r="M423" s="17" t="str">
        <f>IFERROR(VLOOKUP(B423,공휴일!B:C,2,0),"")</f>
        <v/>
      </c>
    </row>
    <row r="424" spans="2:13" x14ac:dyDescent="0.3">
      <c r="B424" s="142">
        <v>46643</v>
      </c>
      <c r="C424" s="143" t="s">
        <v>15</v>
      </c>
      <c r="D424" s="144"/>
      <c r="E424" s="143" t="s">
        <v>44</v>
      </c>
      <c r="F424" s="144"/>
      <c r="G424" s="147"/>
      <c r="H424" s="148" t="str">
        <f>IF(WORKDAY(B424-1,1,공휴일!$B$4:$B$24)=B424,IF(WORKDAY(B424,1,공휴일!$B$4:$B$24)&lt;&gt;B424+1,"금요일","평일"),IF(WORKDAY(B424,1,공휴일!$B$4:$B$24)&lt;&gt;B424+1,"토요일","일요일"))</f>
        <v>평일</v>
      </c>
      <c r="I424" s="125" t="str">
        <f t="shared" si="29"/>
        <v>2027-09</v>
      </c>
      <c r="J424" s="93" t="str">
        <f t="shared" si="26"/>
        <v>구민아</v>
      </c>
      <c r="K424" s="93" t="str">
        <f t="shared" si="27"/>
        <v>오기희</v>
      </c>
      <c r="L424" s="16" t="str">
        <f t="shared" si="28"/>
        <v>월</v>
      </c>
      <c r="M424" s="17" t="str">
        <f>IFERROR(VLOOKUP(B424,공휴일!B:C,2,0),"")</f>
        <v/>
      </c>
    </row>
    <row r="425" spans="2:13" x14ac:dyDescent="0.3">
      <c r="B425" s="142">
        <v>46644</v>
      </c>
      <c r="C425" s="143" t="s">
        <v>14</v>
      </c>
      <c r="D425" s="144"/>
      <c r="E425" s="143" t="s">
        <v>18</v>
      </c>
      <c r="F425" s="144"/>
      <c r="G425" s="147"/>
      <c r="H425" s="148" t="str">
        <f>IF(WORKDAY(B425-1,1,공휴일!$B$4:$B$24)=B425,IF(WORKDAY(B425,1,공휴일!$B$4:$B$24)&lt;&gt;B425+1,"금요일","평일"),IF(WORKDAY(B425,1,공휴일!$B$4:$B$24)&lt;&gt;B425+1,"토요일","일요일"))</f>
        <v>평일</v>
      </c>
      <c r="I425" s="125" t="str">
        <f t="shared" si="29"/>
        <v>2027-09</v>
      </c>
      <c r="J425" s="93" t="str">
        <f t="shared" ref="J425:J488" si="30">IF(D425="",C425,D425)</f>
        <v>고석규</v>
      </c>
      <c r="K425" s="93" t="str">
        <f t="shared" ref="K425:K488" si="31">IF(F425="",E425,F425)</f>
        <v>이승현</v>
      </c>
      <c r="L425" s="16" t="str">
        <f t="shared" ref="L425:L488" si="32">TEXT(B425,"aaa")</f>
        <v>화</v>
      </c>
      <c r="M425" s="17" t="str">
        <f>IFERROR(VLOOKUP(B425,공휴일!B:C,2,0),"")</f>
        <v/>
      </c>
    </row>
    <row r="426" spans="2:13" x14ac:dyDescent="0.3">
      <c r="B426" s="142">
        <v>46645</v>
      </c>
      <c r="C426" s="143" t="s">
        <v>12</v>
      </c>
      <c r="D426" s="144"/>
      <c r="E426" s="143" t="s">
        <v>10</v>
      </c>
      <c r="F426" s="144"/>
      <c r="G426" s="147"/>
      <c r="H426" s="148" t="str">
        <f>IF(WORKDAY(B426-1,1,공휴일!$B$4:$B$24)=B426,IF(WORKDAY(B426,1,공휴일!$B$4:$B$24)&lt;&gt;B426+1,"금요일","평일"),IF(WORKDAY(B426,1,공휴일!$B$4:$B$24)&lt;&gt;B426+1,"토요일","일요일"))</f>
        <v>평일</v>
      </c>
      <c r="I426" s="125" t="str">
        <f t="shared" si="29"/>
        <v>2027-09</v>
      </c>
      <c r="J426" s="93" t="str">
        <f t="shared" si="30"/>
        <v>한문영</v>
      </c>
      <c r="K426" s="93" t="str">
        <f t="shared" si="31"/>
        <v>유진수</v>
      </c>
      <c r="L426" s="16" t="str">
        <f t="shared" si="32"/>
        <v>수</v>
      </c>
      <c r="M426" s="17" t="str">
        <f>IFERROR(VLOOKUP(B426,공휴일!B:C,2,0),"")</f>
        <v/>
      </c>
    </row>
    <row r="427" spans="2:13" x14ac:dyDescent="0.3">
      <c r="B427" s="142">
        <v>46646</v>
      </c>
      <c r="C427" s="143" t="s">
        <v>16</v>
      </c>
      <c r="D427" s="144"/>
      <c r="E427" s="143" t="s">
        <v>20</v>
      </c>
      <c r="F427" s="144"/>
      <c r="G427" s="147"/>
      <c r="H427" s="148" t="str">
        <f>IF(WORKDAY(B427-1,1,공휴일!$B$4:$B$24)=B427,IF(WORKDAY(B427,1,공휴일!$B$4:$B$24)&lt;&gt;B427+1,"금요일","평일"),IF(WORKDAY(B427,1,공휴일!$B$4:$B$24)&lt;&gt;B427+1,"토요일","일요일"))</f>
        <v>평일</v>
      </c>
      <c r="I427" s="125" t="str">
        <f t="shared" si="29"/>
        <v>2027-09</v>
      </c>
      <c r="J427" s="93" t="str">
        <f t="shared" si="30"/>
        <v>이현숙</v>
      </c>
      <c r="K427" s="93" t="str">
        <f t="shared" si="31"/>
        <v>이원철</v>
      </c>
      <c r="L427" s="16" t="str">
        <f t="shared" si="32"/>
        <v>목</v>
      </c>
      <c r="M427" s="17" t="str">
        <f>IFERROR(VLOOKUP(B427,공휴일!B:C,2,0),"")</f>
        <v/>
      </c>
    </row>
    <row r="428" spans="2:13" x14ac:dyDescent="0.3">
      <c r="B428" s="142">
        <v>46647</v>
      </c>
      <c r="C428" s="143" t="s">
        <v>13</v>
      </c>
      <c r="D428" s="144"/>
      <c r="E428" s="143" t="s">
        <v>21</v>
      </c>
      <c r="F428" s="144"/>
      <c r="G428" s="147"/>
      <c r="H428" s="148" t="str">
        <f>IF(WORKDAY(B428-1,1,공휴일!$B$4:$B$24)=B428,IF(WORKDAY(B428,1,공휴일!$B$4:$B$24)&lt;&gt;B428+1,"금요일","평일"),IF(WORKDAY(B428,1,공휴일!$B$4:$B$24)&lt;&gt;B428+1,"토요일","일요일"))</f>
        <v>금요일</v>
      </c>
      <c r="I428" s="125" t="str">
        <f t="shared" si="29"/>
        <v>2027-09</v>
      </c>
      <c r="J428" s="93" t="str">
        <f t="shared" si="30"/>
        <v>안지영</v>
      </c>
      <c r="K428" s="93" t="str">
        <f t="shared" si="31"/>
        <v>정찬웅</v>
      </c>
      <c r="L428" s="16" t="str">
        <f t="shared" si="32"/>
        <v>금</v>
      </c>
      <c r="M428" s="17" t="str">
        <f>IFERROR(VLOOKUP(B428,공휴일!B:C,2,0),"")</f>
        <v/>
      </c>
    </row>
    <row r="429" spans="2:13" x14ac:dyDescent="0.3">
      <c r="B429" s="142">
        <v>46648</v>
      </c>
      <c r="C429" s="143" t="s">
        <v>41</v>
      </c>
      <c r="D429" s="144"/>
      <c r="E429" s="143" t="s">
        <v>22</v>
      </c>
      <c r="F429" s="144"/>
      <c r="G429" s="147"/>
      <c r="H429" s="148" t="str">
        <f>IF(WORKDAY(B429-1,1,공휴일!$B$4:$B$24)=B429,IF(WORKDAY(B429,1,공휴일!$B$4:$B$24)&lt;&gt;B429+1,"금요일","평일"),IF(WORKDAY(B429,1,공휴일!$B$4:$B$24)&lt;&gt;B429+1,"토요일","일요일"))</f>
        <v>토요일</v>
      </c>
      <c r="I429" s="125" t="str">
        <f t="shared" si="29"/>
        <v>2027-09</v>
      </c>
      <c r="J429" s="93" t="str">
        <f t="shared" si="30"/>
        <v>송남철</v>
      </c>
      <c r="K429" s="93" t="str">
        <f t="shared" si="31"/>
        <v>서진호</v>
      </c>
      <c r="L429" s="16" t="str">
        <f t="shared" si="32"/>
        <v>토</v>
      </c>
      <c r="M429" s="17" t="str">
        <f>IFERROR(VLOOKUP(B429,공휴일!B:C,2,0),"")</f>
        <v/>
      </c>
    </row>
    <row r="430" spans="2:13" x14ac:dyDescent="0.3">
      <c r="B430" s="142">
        <v>46649</v>
      </c>
      <c r="C430" s="143" t="s">
        <v>17</v>
      </c>
      <c r="D430" s="144"/>
      <c r="E430" s="143" t="s">
        <v>11</v>
      </c>
      <c r="F430" s="144"/>
      <c r="G430" s="147"/>
      <c r="H430" s="148" t="str">
        <f>IF(WORKDAY(B430-1,1,공휴일!$B$4:$B$24)=B430,IF(WORKDAY(B430,1,공휴일!$B$4:$B$24)&lt;&gt;B430+1,"금요일","평일"),IF(WORKDAY(B430,1,공휴일!$B$4:$B$24)&lt;&gt;B430+1,"토요일","일요일"))</f>
        <v>일요일</v>
      </c>
      <c r="I430" s="125" t="str">
        <f t="shared" si="29"/>
        <v>2027-09</v>
      </c>
      <c r="J430" s="93" t="str">
        <f t="shared" si="30"/>
        <v>신혜원</v>
      </c>
      <c r="K430" s="93" t="str">
        <f t="shared" si="31"/>
        <v>장민우</v>
      </c>
      <c r="L430" s="16" t="str">
        <f t="shared" si="32"/>
        <v>일</v>
      </c>
      <c r="M430" s="17" t="str">
        <f>IFERROR(VLOOKUP(B430,공휴일!B:C,2,0),"")</f>
        <v/>
      </c>
    </row>
    <row r="431" spans="2:13" x14ac:dyDescent="0.3">
      <c r="B431" s="142">
        <v>46650</v>
      </c>
      <c r="C431" s="143" t="s">
        <v>40</v>
      </c>
      <c r="D431" s="144"/>
      <c r="E431" s="143" t="s">
        <v>19</v>
      </c>
      <c r="F431" s="144"/>
      <c r="G431" s="147"/>
      <c r="H431" s="148" t="str">
        <f>IF(WORKDAY(B431-1,1,공휴일!$B$4:$B$24)=B431,IF(WORKDAY(B431,1,공휴일!$B$4:$B$24)&lt;&gt;B431+1,"금요일","평일"),IF(WORKDAY(B431,1,공휴일!$B$4:$B$24)&lt;&gt;B431+1,"토요일","일요일"))</f>
        <v>평일</v>
      </c>
      <c r="I431" s="125" t="str">
        <f t="shared" si="29"/>
        <v>2027-09</v>
      </c>
      <c r="J431" s="93" t="str">
        <f t="shared" si="30"/>
        <v>여철호</v>
      </c>
      <c r="K431" s="93" t="str">
        <f t="shared" si="31"/>
        <v>우정수</v>
      </c>
      <c r="L431" s="16" t="str">
        <f t="shared" si="32"/>
        <v>월</v>
      </c>
      <c r="M431" s="17" t="str">
        <f>IFERROR(VLOOKUP(B431,공휴일!B:C,2,0),"")</f>
        <v/>
      </c>
    </row>
    <row r="432" spans="2:13" x14ac:dyDescent="0.3">
      <c r="B432" s="142">
        <v>46651</v>
      </c>
      <c r="C432" s="143" t="s">
        <v>15</v>
      </c>
      <c r="D432" s="144"/>
      <c r="E432" s="143" t="s">
        <v>44</v>
      </c>
      <c r="F432" s="144"/>
      <c r="G432" s="147"/>
      <c r="H432" s="148" t="str">
        <f>IF(WORKDAY(B432-1,1,공휴일!$B$4:$B$24)=B432,IF(WORKDAY(B432,1,공휴일!$B$4:$B$24)&lt;&gt;B432+1,"금요일","평일"),IF(WORKDAY(B432,1,공휴일!$B$4:$B$24)&lt;&gt;B432+1,"토요일","일요일"))</f>
        <v>평일</v>
      </c>
      <c r="I432" s="125" t="str">
        <f t="shared" si="29"/>
        <v>2027-09</v>
      </c>
      <c r="J432" s="93" t="str">
        <f t="shared" si="30"/>
        <v>구민아</v>
      </c>
      <c r="K432" s="93" t="str">
        <f t="shared" si="31"/>
        <v>오기희</v>
      </c>
      <c r="L432" s="16" t="str">
        <f t="shared" si="32"/>
        <v>화</v>
      </c>
      <c r="M432" s="17" t="str">
        <f>IFERROR(VLOOKUP(B432,공휴일!B:C,2,0),"")</f>
        <v/>
      </c>
    </row>
    <row r="433" spans="2:13" x14ac:dyDescent="0.3">
      <c r="B433" s="142">
        <v>46652</v>
      </c>
      <c r="C433" s="143" t="s">
        <v>14</v>
      </c>
      <c r="D433" s="144"/>
      <c r="E433" s="143" t="s">
        <v>18</v>
      </c>
      <c r="F433" s="144"/>
      <c r="G433" s="147"/>
      <c r="H433" s="148" t="str">
        <f>IF(WORKDAY(B433-1,1,공휴일!$B$4:$B$24)=B433,IF(WORKDAY(B433,1,공휴일!$B$4:$B$24)&lt;&gt;B433+1,"금요일","평일"),IF(WORKDAY(B433,1,공휴일!$B$4:$B$24)&lt;&gt;B433+1,"토요일","일요일"))</f>
        <v>평일</v>
      </c>
      <c r="I433" s="125" t="str">
        <f t="shared" si="29"/>
        <v>2027-09</v>
      </c>
      <c r="J433" s="93" t="str">
        <f t="shared" si="30"/>
        <v>고석규</v>
      </c>
      <c r="K433" s="93" t="str">
        <f t="shared" si="31"/>
        <v>이승현</v>
      </c>
      <c r="L433" s="16" t="str">
        <f t="shared" si="32"/>
        <v>수</v>
      </c>
      <c r="M433" s="17" t="str">
        <f>IFERROR(VLOOKUP(B433,공휴일!B:C,2,0),"")</f>
        <v/>
      </c>
    </row>
    <row r="434" spans="2:13" x14ac:dyDescent="0.3">
      <c r="B434" s="142">
        <v>46653</v>
      </c>
      <c r="C434" s="143" t="s">
        <v>12</v>
      </c>
      <c r="D434" s="144"/>
      <c r="E434" s="143" t="s">
        <v>10</v>
      </c>
      <c r="F434" s="144"/>
      <c r="G434" s="147"/>
      <c r="H434" s="148" t="str">
        <f>IF(WORKDAY(B434-1,1,공휴일!$B$4:$B$24)=B434,IF(WORKDAY(B434,1,공휴일!$B$4:$B$24)&lt;&gt;B434+1,"금요일","평일"),IF(WORKDAY(B434,1,공휴일!$B$4:$B$24)&lt;&gt;B434+1,"토요일","일요일"))</f>
        <v>평일</v>
      </c>
      <c r="I434" s="125" t="str">
        <f t="shared" si="29"/>
        <v>2027-09</v>
      </c>
      <c r="J434" s="93" t="str">
        <f t="shared" si="30"/>
        <v>한문영</v>
      </c>
      <c r="K434" s="93" t="str">
        <f t="shared" si="31"/>
        <v>유진수</v>
      </c>
      <c r="L434" s="16" t="str">
        <f t="shared" si="32"/>
        <v>목</v>
      </c>
      <c r="M434" s="17" t="str">
        <f>IFERROR(VLOOKUP(B434,공휴일!B:C,2,0),"")</f>
        <v>추석연휴</v>
      </c>
    </row>
    <row r="435" spans="2:13" x14ac:dyDescent="0.3">
      <c r="B435" s="142">
        <v>46654</v>
      </c>
      <c r="C435" s="143" t="s">
        <v>16</v>
      </c>
      <c r="D435" s="144"/>
      <c r="E435" s="143" t="s">
        <v>20</v>
      </c>
      <c r="F435" s="144"/>
      <c r="G435" s="147"/>
      <c r="H435" s="148" t="str">
        <f>IF(WORKDAY(B435-1,1,공휴일!$B$4:$B$24)=B435,IF(WORKDAY(B435,1,공휴일!$B$4:$B$24)&lt;&gt;B435+1,"금요일","평일"),IF(WORKDAY(B435,1,공휴일!$B$4:$B$24)&lt;&gt;B435+1,"토요일","일요일"))</f>
        <v>금요일</v>
      </c>
      <c r="I435" s="125" t="str">
        <f t="shared" si="29"/>
        <v>2027-09</v>
      </c>
      <c r="J435" s="93" t="str">
        <f t="shared" si="30"/>
        <v>이현숙</v>
      </c>
      <c r="K435" s="93" t="str">
        <f t="shared" si="31"/>
        <v>이원철</v>
      </c>
      <c r="L435" s="16" t="str">
        <f t="shared" si="32"/>
        <v>금</v>
      </c>
      <c r="M435" s="17" t="str">
        <f>IFERROR(VLOOKUP(B435,공휴일!B:C,2,0),"")</f>
        <v>추석</v>
      </c>
    </row>
    <row r="436" spans="2:13" x14ac:dyDescent="0.3">
      <c r="B436" s="142">
        <v>46655</v>
      </c>
      <c r="C436" s="143" t="s">
        <v>13</v>
      </c>
      <c r="D436" s="144"/>
      <c r="E436" s="143" t="s">
        <v>21</v>
      </c>
      <c r="F436" s="144"/>
      <c r="G436" s="147"/>
      <c r="H436" s="148" t="str">
        <f>IF(WORKDAY(B436-1,1,공휴일!$B$4:$B$24)=B436,IF(WORKDAY(B436,1,공휴일!$B$4:$B$24)&lt;&gt;B436+1,"금요일","평일"),IF(WORKDAY(B436,1,공휴일!$B$4:$B$24)&lt;&gt;B436+1,"토요일","일요일"))</f>
        <v>토요일</v>
      </c>
      <c r="I436" s="125" t="str">
        <f t="shared" si="29"/>
        <v>2027-09</v>
      </c>
      <c r="J436" s="93" t="str">
        <f t="shared" si="30"/>
        <v>안지영</v>
      </c>
      <c r="K436" s="93" t="str">
        <f t="shared" si="31"/>
        <v>정찬웅</v>
      </c>
      <c r="L436" s="16" t="str">
        <f t="shared" si="32"/>
        <v>토</v>
      </c>
      <c r="M436" s="17" t="str">
        <f>IFERROR(VLOOKUP(B436,공휴일!B:C,2,0),"")</f>
        <v>추석연휴</v>
      </c>
    </row>
    <row r="437" spans="2:13" x14ac:dyDescent="0.3">
      <c r="B437" s="142">
        <v>46656</v>
      </c>
      <c r="C437" s="143" t="s">
        <v>41</v>
      </c>
      <c r="D437" s="144"/>
      <c r="E437" s="143" t="s">
        <v>22</v>
      </c>
      <c r="F437" s="144"/>
      <c r="G437" s="147"/>
      <c r="H437" s="148" t="str">
        <f>IF(WORKDAY(B437-1,1,공휴일!$B$4:$B$24)=B437,IF(WORKDAY(B437,1,공휴일!$B$4:$B$24)&lt;&gt;B437+1,"금요일","평일"),IF(WORKDAY(B437,1,공휴일!$B$4:$B$24)&lt;&gt;B437+1,"토요일","일요일"))</f>
        <v>일요일</v>
      </c>
      <c r="I437" s="125" t="str">
        <f t="shared" si="29"/>
        <v>2027-09</v>
      </c>
      <c r="J437" s="93" t="str">
        <f t="shared" si="30"/>
        <v>송남철</v>
      </c>
      <c r="K437" s="93" t="str">
        <f t="shared" si="31"/>
        <v>서진호</v>
      </c>
      <c r="L437" s="16" t="str">
        <f t="shared" si="32"/>
        <v>일</v>
      </c>
      <c r="M437" s="17" t="str">
        <f>IFERROR(VLOOKUP(B437,공휴일!B:C,2,0),"")</f>
        <v>추석연휴</v>
      </c>
    </row>
    <row r="438" spans="2:13" x14ac:dyDescent="0.3">
      <c r="B438" s="142">
        <v>46657</v>
      </c>
      <c r="C438" s="143" t="s">
        <v>17</v>
      </c>
      <c r="D438" s="144"/>
      <c r="E438" s="143" t="s">
        <v>11</v>
      </c>
      <c r="F438" s="144"/>
      <c r="G438" s="147"/>
      <c r="H438" s="148" t="str">
        <f>IF(WORKDAY(B438-1,1,공휴일!$B$4:$B$24)=B438,IF(WORKDAY(B438,1,공휴일!$B$4:$B$24)&lt;&gt;B438+1,"금요일","평일"),IF(WORKDAY(B438,1,공휴일!$B$4:$B$24)&lt;&gt;B438+1,"토요일","일요일"))</f>
        <v>평일</v>
      </c>
      <c r="I438" s="125" t="str">
        <f t="shared" si="29"/>
        <v>2027-09</v>
      </c>
      <c r="J438" s="93" t="str">
        <f t="shared" si="30"/>
        <v>신혜원</v>
      </c>
      <c r="K438" s="93" t="str">
        <f t="shared" si="31"/>
        <v>장민우</v>
      </c>
      <c r="L438" s="16" t="str">
        <f t="shared" si="32"/>
        <v>월</v>
      </c>
      <c r="M438" s="17" t="str">
        <f>IFERROR(VLOOKUP(B438,공휴일!B:C,2,0),"")</f>
        <v>대체공휴일</v>
      </c>
    </row>
    <row r="439" spans="2:13" x14ac:dyDescent="0.3">
      <c r="B439" s="142">
        <v>46658</v>
      </c>
      <c r="C439" s="143" t="s">
        <v>40</v>
      </c>
      <c r="D439" s="144"/>
      <c r="E439" s="143" t="s">
        <v>19</v>
      </c>
      <c r="F439" s="144"/>
      <c r="G439" s="147"/>
      <c r="H439" s="148" t="str">
        <f>IF(WORKDAY(B439-1,1,공휴일!$B$4:$B$24)=B439,IF(WORKDAY(B439,1,공휴일!$B$4:$B$24)&lt;&gt;B439+1,"금요일","평일"),IF(WORKDAY(B439,1,공휴일!$B$4:$B$24)&lt;&gt;B439+1,"토요일","일요일"))</f>
        <v>평일</v>
      </c>
      <c r="I439" s="125" t="str">
        <f t="shared" si="29"/>
        <v>2027-09</v>
      </c>
      <c r="J439" s="93" t="str">
        <f t="shared" si="30"/>
        <v>여철호</v>
      </c>
      <c r="K439" s="93" t="str">
        <f t="shared" si="31"/>
        <v>우정수</v>
      </c>
      <c r="L439" s="16" t="str">
        <f t="shared" si="32"/>
        <v>화</v>
      </c>
      <c r="M439" s="17" t="str">
        <f>IFERROR(VLOOKUP(B439,공휴일!B:C,2,0),"")</f>
        <v/>
      </c>
    </row>
    <row r="440" spans="2:13" x14ac:dyDescent="0.3">
      <c r="B440" s="142">
        <v>46659</v>
      </c>
      <c r="C440" s="143" t="s">
        <v>15</v>
      </c>
      <c r="D440" s="144"/>
      <c r="E440" s="143" t="s">
        <v>44</v>
      </c>
      <c r="F440" s="144"/>
      <c r="G440" s="147"/>
      <c r="H440" s="148" t="str">
        <f>IF(WORKDAY(B440-1,1,공휴일!$B$4:$B$24)=B440,IF(WORKDAY(B440,1,공휴일!$B$4:$B$24)&lt;&gt;B440+1,"금요일","평일"),IF(WORKDAY(B440,1,공휴일!$B$4:$B$24)&lt;&gt;B440+1,"토요일","일요일"))</f>
        <v>평일</v>
      </c>
      <c r="I440" s="125" t="str">
        <f t="shared" si="29"/>
        <v>2027-09</v>
      </c>
      <c r="J440" s="93" t="str">
        <f t="shared" si="30"/>
        <v>구민아</v>
      </c>
      <c r="K440" s="93" t="str">
        <f t="shared" si="31"/>
        <v>오기희</v>
      </c>
      <c r="L440" s="16" t="str">
        <f t="shared" si="32"/>
        <v>수</v>
      </c>
      <c r="M440" s="17" t="str">
        <f>IFERROR(VLOOKUP(B440,공휴일!B:C,2,0),"")</f>
        <v/>
      </c>
    </row>
    <row r="441" spans="2:13" x14ac:dyDescent="0.3">
      <c r="B441" s="142">
        <v>46660</v>
      </c>
      <c r="C441" s="143" t="s">
        <v>14</v>
      </c>
      <c r="D441" s="144"/>
      <c r="E441" s="143" t="s">
        <v>18</v>
      </c>
      <c r="F441" s="144"/>
      <c r="G441" s="147"/>
      <c r="H441" s="148" t="str">
        <f>IF(WORKDAY(B441-1,1,공휴일!$B$4:$B$24)=B441,IF(WORKDAY(B441,1,공휴일!$B$4:$B$24)&lt;&gt;B441+1,"금요일","평일"),IF(WORKDAY(B441,1,공휴일!$B$4:$B$24)&lt;&gt;B441+1,"토요일","일요일"))</f>
        <v>평일</v>
      </c>
      <c r="I441" s="125" t="str">
        <f t="shared" si="29"/>
        <v>2027-09</v>
      </c>
      <c r="J441" s="93" t="str">
        <f t="shared" si="30"/>
        <v>고석규</v>
      </c>
      <c r="K441" s="93" t="str">
        <f t="shared" si="31"/>
        <v>이승현</v>
      </c>
      <c r="L441" s="16" t="str">
        <f t="shared" si="32"/>
        <v>목</v>
      </c>
      <c r="M441" s="17" t="str">
        <f>IFERROR(VLOOKUP(B441,공휴일!B:C,2,0),"")</f>
        <v/>
      </c>
    </row>
    <row r="442" spans="2:13" x14ac:dyDescent="0.3">
      <c r="B442" s="142">
        <v>46661</v>
      </c>
      <c r="C442" s="143" t="s">
        <v>12</v>
      </c>
      <c r="D442" s="144"/>
      <c r="E442" s="143" t="s">
        <v>10</v>
      </c>
      <c r="F442" s="144"/>
      <c r="G442" s="147"/>
      <c r="H442" s="148" t="str">
        <f>IF(WORKDAY(B442-1,1,공휴일!$B$4:$B$24)=B442,IF(WORKDAY(B442,1,공휴일!$B$4:$B$24)&lt;&gt;B442+1,"금요일","평일"),IF(WORKDAY(B442,1,공휴일!$B$4:$B$24)&lt;&gt;B442+1,"토요일","일요일"))</f>
        <v>금요일</v>
      </c>
      <c r="I442" s="125" t="str">
        <f t="shared" si="29"/>
        <v>2027-10</v>
      </c>
      <c r="J442" s="93" t="str">
        <f t="shared" si="30"/>
        <v>한문영</v>
      </c>
      <c r="K442" s="93" t="str">
        <f t="shared" si="31"/>
        <v>유진수</v>
      </c>
      <c r="L442" s="16" t="str">
        <f t="shared" si="32"/>
        <v>금</v>
      </c>
      <c r="M442" s="17" t="str">
        <f>IFERROR(VLOOKUP(B442,공휴일!B:C,2,0),"")</f>
        <v/>
      </c>
    </row>
    <row r="443" spans="2:13" x14ac:dyDescent="0.3">
      <c r="B443" s="142">
        <v>46662</v>
      </c>
      <c r="C443" s="143" t="s">
        <v>16</v>
      </c>
      <c r="D443" s="144"/>
      <c r="E443" s="143" t="s">
        <v>20</v>
      </c>
      <c r="F443" s="144"/>
      <c r="G443" s="147"/>
      <c r="H443" s="148" t="str">
        <f>IF(WORKDAY(B443-1,1,공휴일!$B$4:$B$24)=B443,IF(WORKDAY(B443,1,공휴일!$B$4:$B$24)&lt;&gt;B443+1,"금요일","평일"),IF(WORKDAY(B443,1,공휴일!$B$4:$B$24)&lt;&gt;B443+1,"토요일","일요일"))</f>
        <v>토요일</v>
      </c>
      <c r="I443" s="125" t="str">
        <f t="shared" si="29"/>
        <v>2027-10</v>
      </c>
      <c r="J443" s="93" t="str">
        <f t="shared" si="30"/>
        <v>이현숙</v>
      </c>
      <c r="K443" s="93" t="str">
        <f t="shared" si="31"/>
        <v>이원철</v>
      </c>
      <c r="L443" s="16" t="str">
        <f t="shared" si="32"/>
        <v>토</v>
      </c>
      <c r="M443" s="17" t="str">
        <f>IFERROR(VLOOKUP(B443,공휴일!B:C,2,0),"")</f>
        <v/>
      </c>
    </row>
    <row r="444" spans="2:13" x14ac:dyDescent="0.3">
      <c r="B444" s="142">
        <v>46663</v>
      </c>
      <c r="C444" s="143" t="s">
        <v>13</v>
      </c>
      <c r="D444" s="144"/>
      <c r="E444" s="143" t="s">
        <v>21</v>
      </c>
      <c r="F444" s="144"/>
      <c r="G444" s="147"/>
      <c r="H444" s="148" t="str">
        <f>IF(WORKDAY(B444-1,1,공휴일!$B$4:$B$24)=B444,IF(WORKDAY(B444,1,공휴일!$B$4:$B$24)&lt;&gt;B444+1,"금요일","평일"),IF(WORKDAY(B444,1,공휴일!$B$4:$B$24)&lt;&gt;B444+1,"토요일","일요일"))</f>
        <v>일요일</v>
      </c>
      <c r="I444" s="125" t="str">
        <f t="shared" si="29"/>
        <v>2027-10</v>
      </c>
      <c r="J444" s="93" t="str">
        <f t="shared" si="30"/>
        <v>안지영</v>
      </c>
      <c r="K444" s="93" t="str">
        <f t="shared" si="31"/>
        <v>정찬웅</v>
      </c>
      <c r="L444" s="16" t="str">
        <f t="shared" si="32"/>
        <v>일</v>
      </c>
      <c r="M444" s="17" t="str">
        <f>IFERROR(VLOOKUP(B444,공휴일!B:C,2,0),"")</f>
        <v>개천절</v>
      </c>
    </row>
    <row r="445" spans="2:13" x14ac:dyDescent="0.3">
      <c r="B445" s="142">
        <v>46664</v>
      </c>
      <c r="C445" s="143" t="s">
        <v>41</v>
      </c>
      <c r="D445" s="144"/>
      <c r="E445" s="143" t="s">
        <v>22</v>
      </c>
      <c r="F445" s="144"/>
      <c r="G445" s="147"/>
      <c r="H445" s="148" t="str">
        <f>IF(WORKDAY(B445-1,1,공휴일!$B$4:$B$24)=B445,IF(WORKDAY(B445,1,공휴일!$B$4:$B$24)&lt;&gt;B445+1,"금요일","평일"),IF(WORKDAY(B445,1,공휴일!$B$4:$B$24)&lt;&gt;B445+1,"토요일","일요일"))</f>
        <v>평일</v>
      </c>
      <c r="I445" s="125" t="str">
        <f t="shared" si="29"/>
        <v>2027-10</v>
      </c>
      <c r="J445" s="93" t="str">
        <f t="shared" si="30"/>
        <v>송남철</v>
      </c>
      <c r="K445" s="93" t="str">
        <f t="shared" si="31"/>
        <v>서진호</v>
      </c>
      <c r="L445" s="16" t="str">
        <f t="shared" si="32"/>
        <v>월</v>
      </c>
      <c r="M445" s="17" t="str">
        <f>IFERROR(VLOOKUP(B445,공휴일!B:C,2,0),"")</f>
        <v>대체공휴일</v>
      </c>
    </row>
    <row r="446" spans="2:13" x14ac:dyDescent="0.3">
      <c r="B446" s="142">
        <v>46665</v>
      </c>
      <c r="C446" s="143" t="s">
        <v>17</v>
      </c>
      <c r="D446" s="144"/>
      <c r="E446" s="143" t="s">
        <v>11</v>
      </c>
      <c r="F446" s="144"/>
      <c r="G446" s="147"/>
      <c r="H446" s="148" t="str">
        <f>IF(WORKDAY(B446-1,1,공휴일!$B$4:$B$24)=B446,IF(WORKDAY(B446,1,공휴일!$B$4:$B$24)&lt;&gt;B446+1,"금요일","평일"),IF(WORKDAY(B446,1,공휴일!$B$4:$B$24)&lt;&gt;B446+1,"토요일","일요일"))</f>
        <v>평일</v>
      </c>
      <c r="I446" s="125" t="str">
        <f t="shared" si="29"/>
        <v>2027-10</v>
      </c>
      <c r="J446" s="93" t="str">
        <f t="shared" si="30"/>
        <v>신혜원</v>
      </c>
      <c r="K446" s="93" t="str">
        <f t="shared" si="31"/>
        <v>장민우</v>
      </c>
      <c r="L446" s="16" t="str">
        <f t="shared" si="32"/>
        <v>화</v>
      </c>
      <c r="M446" s="17" t="str">
        <f>IFERROR(VLOOKUP(B446,공휴일!B:C,2,0),"")</f>
        <v/>
      </c>
    </row>
    <row r="447" spans="2:13" x14ac:dyDescent="0.3">
      <c r="B447" s="142">
        <v>46666</v>
      </c>
      <c r="C447" s="143" t="s">
        <v>40</v>
      </c>
      <c r="D447" s="144"/>
      <c r="E447" s="143" t="s">
        <v>19</v>
      </c>
      <c r="F447" s="144"/>
      <c r="G447" s="147"/>
      <c r="H447" s="148" t="str">
        <f>IF(WORKDAY(B447-1,1,공휴일!$B$4:$B$24)=B447,IF(WORKDAY(B447,1,공휴일!$B$4:$B$24)&lt;&gt;B447+1,"금요일","평일"),IF(WORKDAY(B447,1,공휴일!$B$4:$B$24)&lt;&gt;B447+1,"토요일","일요일"))</f>
        <v>평일</v>
      </c>
      <c r="I447" s="125" t="str">
        <f t="shared" si="29"/>
        <v>2027-10</v>
      </c>
      <c r="J447" s="93" t="str">
        <f t="shared" si="30"/>
        <v>여철호</v>
      </c>
      <c r="K447" s="93" t="str">
        <f t="shared" si="31"/>
        <v>우정수</v>
      </c>
      <c r="L447" s="16" t="str">
        <f t="shared" si="32"/>
        <v>수</v>
      </c>
      <c r="M447" s="17" t="str">
        <f>IFERROR(VLOOKUP(B447,공휴일!B:C,2,0),"")</f>
        <v/>
      </c>
    </row>
    <row r="448" spans="2:13" x14ac:dyDescent="0.3">
      <c r="B448" s="142">
        <v>46667</v>
      </c>
      <c r="C448" s="143" t="s">
        <v>15</v>
      </c>
      <c r="D448" s="144"/>
      <c r="E448" s="143" t="s">
        <v>44</v>
      </c>
      <c r="F448" s="144"/>
      <c r="G448" s="147"/>
      <c r="H448" s="148" t="str">
        <f>IF(WORKDAY(B448-1,1,공휴일!$B$4:$B$24)=B448,IF(WORKDAY(B448,1,공휴일!$B$4:$B$24)&lt;&gt;B448+1,"금요일","평일"),IF(WORKDAY(B448,1,공휴일!$B$4:$B$24)&lt;&gt;B448+1,"토요일","일요일"))</f>
        <v>평일</v>
      </c>
      <c r="I448" s="125" t="str">
        <f t="shared" si="29"/>
        <v>2027-10</v>
      </c>
      <c r="J448" s="93" t="str">
        <f t="shared" si="30"/>
        <v>구민아</v>
      </c>
      <c r="K448" s="93" t="str">
        <f t="shared" si="31"/>
        <v>오기희</v>
      </c>
      <c r="L448" s="16" t="str">
        <f t="shared" si="32"/>
        <v>목</v>
      </c>
      <c r="M448" s="17" t="str">
        <f>IFERROR(VLOOKUP(B448,공휴일!B:C,2,0),"")</f>
        <v/>
      </c>
    </row>
    <row r="449" spans="2:13" x14ac:dyDescent="0.3">
      <c r="B449" s="142">
        <v>46668</v>
      </c>
      <c r="C449" s="143" t="s">
        <v>14</v>
      </c>
      <c r="D449" s="144"/>
      <c r="E449" s="143" t="s">
        <v>18</v>
      </c>
      <c r="F449" s="144"/>
      <c r="G449" s="147"/>
      <c r="H449" s="148" t="str">
        <f>IF(WORKDAY(B449-1,1,공휴일!$B$4:$B$24)=B449,IF(WORKDAY(B449,1,공휴일!$B$4:$B$24)&lt;&gt;B449+1,"금요일","평일"),IF(WORKDAY(B449,1,공휴일!$B$4:$B$24)&lt;&gt;B449+1,"토요일","일요일"))</f>
        <v>금요일</v>
      </c>
      <c r="I449" s="125" t="str">
        <f t="shared" si="29"/>
        <v>2027-10</v>
      </c>
      <c r="J449" s="93" t="str">
        <f t="shared" si="30"/>
        <v>고석규</v>
      </c>
      <c r="K449" s="93" t="str">
        <f t="shared" si="31"/>
        <v>이승현</v>
      </c>
      <c r="L449" s="16" t="str">
        <f t="shared" si="32"/>
        <v>금</v>
      </c>
      <c r="M449" s="17" t="str">
        <f>IFERROR(VLOOKUP(B449,공휴일!B:C,2,0),"")</f>
        <v/>
      </c>
    </row>
    <row r="450" spans="2:13" x14ac:dyDescent="0.3">
      <c r="B450" s="142">
        <v>46669</v>
      </c>
      <c r="C450" s="143" t="s">
        <v>12</v>
      </c>
      <c r="D450" s="144"/>
      <c r="E450" s="143" t="s">
        <v>10</v>
      </c>
      <c r="F450" s="144"/>
      <c r="G450" s="147"/>
      <c r="H450" s="148" t="str">
        <f>IF(WORKDAY(B450-1,1,공휴일!$B$4:$B$24)=B450,IF(WORKDAY(B450,1,공휴일!$B$4:$B$24)&lt;&gt;B450+1,"금요일","평일"),IF(WORKDAY(B450,1,공휴일!$B$4:$B$24)&lt;&gt;B450+1,"토요일","일요일"))</f>
        <v>토요일</v>
      </c>
      <c r="I450" s="125" t="str">
        <f t="shared" si="29"/>
        <v>2027-10</v>
      </c>
      <c r="J450" s="93" t="str">
        <f t="shared" si="30"/>
        <v>한문영</v>
      </c>
      <c r="K450" s="93" t="str">
        <f t="shared" si="31"/>
        <v>유진수</v>
      </c>
      <c r="L450" s="16" t="str">
        <f t="shared" si="32"/>
        <v>토</v>
      </c>
      <c r="M450" s="17" t="str">
        <f>IFERROR(VLOOKUP(B450,공휴일!B:C,2,0),"")</f>
        <v>한글날</v>
      </c>
    </row>
    <row r="451" spans="2:13" x14ac:dyDescent="0.3">
      <c r="B451" s="142">
        <v>46670</v>
      </c>
      <c r="C451" s="143" t="s">
        <v>16</v>
      </c>
      <c r="D451" s="144"/>
      <c r="E451" s="143" t="s">
        <v>20</v>
      </c>
      <c r="F451" s="144"/>
      <c r="G451" s="147"/>
      <c r="H451" s="148" t="str">
        <f>IF(WORKDAY(B451-1,1,공휴일!$B$4:$B$24)=B451,IF(WORKDAY(B451,1,공휴일!$B$4:$B$24)&lt;&gt;B451+1,"금요일","평일"),IF(WORKDAY(B451,1,공휴일!$B$4:$B$24)&lt;&gt;B451+1,"토요일","일요일"))</f>
        <v>일요일</v>
      </c>
      <c r="I451" s="125" t="str">
        <f t="shared" si="29"/>
        <v>2027-10</v>
      </c>
      <c r="J451" s="93" t="str">
        <f t="shared" si="30"/>
        <v>이현숙</v>
      </c>
      <c r="K451" s="93" t="str">
        <f t="shared" si="31"/>
        <v>이원철</v>
      </c>
      <c r="L451" s="16" t="str">
        <f t="shared" si="32"/>
        <v>일</v>
      </c>
      <c r="M451" s="17" t="str">
        <f>IFERROR(VLOOKUP(B451,공휴일!B:C,2,0),"")</f>
        <v/>
      </c>
    </row>
    <row r="452" spans="2:13" x14ac:dyDescent="0.3">
      <c r="B452" s="142">
        <v>46671</v>
      </c>
      <c r="C452" s="143" t="s">
        <v>13</v>
      </c>
      <c r="D452" s="144"/>
      <c r="E452" s="143" t="s">
        <v>21</v>
      </c>
      <c r="F452" s="144"/>
      <c r="G452" s="147"/>
      <c r="H452" s="148" t="str">
        <f>IF(WORKDAY(B452-1,1,공휴일!$B$4:$B$24)=B452,IF(WORKDAY(B452,1,공휴일!$B$4:$B$24)&lt;&gt;B452+1,"금요일","평일"),IF(WORKDAY(B452,1,공휴일!$B$4:$B$24)&lt;&gt;B452+1,"토요일","일요일"))</f>
        <v>평일</v>
      </c>
      <c r="I452" s="125" t="str">
        <f t="shared" si="29"/>
        <v>2027-10</v>
      </c>
      <c r="J452" s="93" t="str">
        <f t="shared" si="30"/>
        <v>안지영</v>
      </c>
      <c r="K452" s="93" t="str">
        <f t="shared" si="31"/>
        <v>정찬웅</v>
      </c>
      <c r="L452" s="16" t="str">
        <f t="shared" si="32"/>
        <v>월</v>
      </c>
      <c r="M452" s="17" t="str">
        <f>IFERROR(VLOOKUP(B452,공휴일!B:C,2,0),"")</f>
        <v/>
      </c>
    </row>
    <row r="453" spans="2:13" x14ac:dyDescent="0.3">
      <c r="B453" s="142">
        <v>46672</v>
      </c>
      <c r="C453" s="143" t="s">
        <v>41</v>
      </c>
      <c r="D453" s="144"/>
      <c r="E453" s="143" t="s">
        <v>22</v>
      </c>
      <c r="F453" s="144"/>
      <c r="G453" s="147"/>
      <c r="H453" s="148" t="str">
        <f>IF(WORKDAY(B453-1,1,공휴일!$B$4:$B$24)=B453,IF(WORKDAY(B453,1,공휴일!$B$4:$B$24)&lt;&gt;B453+1,"금요일","평일"),IF(WORKDAY(B453,1,공휴일!$B$4:$B$24)&lt;&gt;B453+1,"토요일","일요일"))</f>
        <v>평일</v>
      </c>
      <c r="I453" s="125" t="str">
        <f t="shared" si="29"/>
        <v>2027-10</v>
      </c>
      <c r="J453" s="93" t="str">
        <f t="shared" si="30"/>
        <v>송남철</v>
      </c>
      <c r="K453" s="93" t="str">
        <f t="shared" si="31"/>
        <v>서진호</v>
      </c>
      <c r="L453" s="16" t="str">
        <f t="shared" si="32"/>
        <v>화</v>
      </c>
      <c r="M453" s="17" t="str">
        <f>IFERROR(VLOOKUP(B453,공휴일!B:C,2,0),"")</f>
        <v/>
      </c>
    </row>
    <row r="454" spans="2:13" x14ac:dyDescent="0.3">
      <c r="B454" s="142">
        <v>46673</v>
      </c>
      <c r="C454" s="143" t="s">
        <v>17</v>
      </c>
      <c r="D454" s="144"/>
      <c r="E454" s="143" t="s">
        <v>11</v>
      </c>
      <c r="F454" s="144"/>
      <c r="G454" s="147"/>
      <c r="H454" s="148" t="str">
        <f>IF(WORKDAY(B454-1,1,공휴일!$B$4:$B$24)=B454,IF(WORKDAY(B454,1,공휴일!$B$4:$B$24)&lt;&gt;B454+1,"금요일","평일"),IF(WORKDAY(B454,1,공휴일!$B$4:$B$24)&lt;&gt;B454+1,"토요일","일요일"))</f>
        <v>평일</v>
      </c>
      <c r="I454" s="125" t="str">
        <f t="shared" ref="I454:I517" si="33">TEXT(B454,"yyyy-mm")</f>
        <v>2027-10</v>
      </c>
      <c r="J454" s="93" t="str">
        <f t="shared" si="30"/>
        <v>신혜원</v>
      </c>
      <c r="K454" s="93" t="str">
        <f t="shared" si="31"/>
        <v>장민우</v>
      </c>
      <c r="L454" s="16" t="str">
        <f t="shared" si="32"/>
        <v>수</v>
      </c>
      <c r="M454" s="17" t="str">
        <f>IFERROR(VLOOKUP(B454,공휴일!B:C,2,0),"")</f>
        <v/>
      </c>
    </row>
    <row r="455" spans="2:13" x14ac:dyDescent="0.3">
      <c r="B455" s="142">
        <v>46674</v>
      </c>
      <c r="C455" s="143" t="s">
        <v>40</v>
      </c>
      <c r="D455" s="144"/>
      <c r="E455" s="143" t="s">
        <v>19</v>
      </c>
      <c r="F455" s="144"/>
      <c r="G455" s="147"/>
      <c r="H455" s="148" t="str">
        <f>IF(WORKDAY(B455-1,1,공휴일!$B$4:$B$24)=B455,IF(WORKDAY(B455,1,공휴일!$B$4:$B$24)&lt;&gt;B455+1,"금요일","평일"),IF(WORKDAY(B455,1,공휴일!$B$4:$B$24)&lt;&gt;B455+1,"토요일","일요일"))</f>
        <v>평일</v>
      </c>
      <c r="I455" s="125" t="str">
        <f t="shared" si="33"/>
        <v>2027-10</v>
      </c>
      <c r="J455" s="93" t="str">
        <f t="shared" si="30"/>
        <v>여철호</v>
      </c>
      <c r="K455" s="93" t="str">
        <f t="shared" si="31"/>
        <v>우정수</v>
      </c>
      <c r="L455" s="16" t="str">
        <f t="shared" si="32"/>
        <v>목</v>
      </c>
      <c r="M455" s="17" t="str">
        <f>IFERROR(VLOOKUP(B455,공휴일!B:C,2,0),"")</f>
        <v/>
      </c>
    </row>
    <row r="456" spans="2:13" x14ac:dyDescent="0.3">
      <c r="B456" s="142">
        <v>46675</v>
      </c>
      <c r="C456" s="143" t="s">
        <v>15</v>
      </c>
      <c r="D456" s="144"/>
      <c r="E456" s="143" t="s">
        <v>44</v>
      </c>
      <c r="F456" s="144"/>
      <c r="G456" s="147"/>
      <c r="H456" s="148" t="str">
        <f>IF(WORKDAY(B456-1,1,공휴일!$B$4:$B$24)=B456,IF(WORKDAY(B456,1,공휴일!$B$4:$B$24)&lt;&gt;B456+1,"금요일","평일"),IF(WORKDAY(B456,1,공휴일!$B$4:$B$24)&lt;&gt;B456+1,"토요일","일요일"))</f>
        <v>금요일</v>
      </c>
      <c r="I456" s="125" t="str">
        <f t="shared" si="33"/>
        <v>2027-10</v>
      </c>
      <c r="J456" s="93" t="str">
        <f t="shared" si="30"/>
        <v>구민아</v>
      </c>
      <c r="K456" s="93" t="str">
        <f t="shared" si="31"/>
        <v>오기희</v>
      </c>
      <c r="L456" s="16" t="str">
        <f t="shared" si="32"/>
        <v>금</v>
      </c>
      <c r="M456" s="17" t="str">
        <f>IFERROR(VLOOKUP(B456,공휴일!B:C,2,0),"")</f>
        <v/>
      </c>
    </row>
    <row r="457" spans="2:13" x14ac:dyDescent="0.3">
      <c r="B457" s="142">
        <v>46676</v>
      </c>
      <c r="C457" s="143" t="s">
        <v>14</v>
      </c>
      <c r="D457" s="144"/>
      <c r="E457" s="143" t="s">
        <v>18</v>
      </c>
      <c r="F457" s="144"/>
      <c r="G457" s="147"/>
      <c r="H457" s="148" t="str">
        <f>IF(WORKDAY(B457-1,1,공휴일!$B$4:$B$24)=B457,IF(WORKDAY(B457,1,공휴일!$B$4:$B$24)&lt;&gt;B457+1,"금요일","평일"),IF(WORKDAY(B457,1,공휴일!$B$4:$B$24)&lt;&gt;B457+1,"토요일","일요일"))</f>
        <v>토요일</v>
      </c>
      <c r="I457" s="125" t="str">
        <f t="shared" si="33"/>
        <v>2027-10</v>
      </c>
      <c r="J457" s="93" t="str">
        <f t="shared" si="30"/>
        <v>고석규</v>
      </c>
      <c r="K457" s="93" t="str">
        <f t="shared" si="31"/>
        <v>이승현</v>
      </c>
      <c r="L457" s="16" t="str">
        <f t="shared" si="32"/>
        <v>토</v>
      </c>
      <c r="M457" s="17" t="str">
        <f>IFERROR(VLOOKUP(B457,공휴일!B:C,2,0),"")</f>
        <v/>
      </c>
    </row>
    <row r="458" spans="2:13" x14ac:dyDescent="0.3">
      <c r="B458" s="142">
        <v>46677</v>
      </c>
      <c r="C458" s="143" t="s">
        <v>12</v>
      </c>
      <c r="D458" s="144"/>
      <c r="E458" s="143" t="s">
        <v>10</v>
      </c>
      <c r="F458" s="144"/>
      <c r="G458" s="147"/>
      <c r="H458" s="148" t="str">
        <f>IF(WORKDAY(B458-1,1,공휴일!$B$4:$B$24)=B458,IF(WORKDAY(B458,1,공휴일!$B$4:$B$24)&lt;&gt;B458+1,"금요일","평일"),IF(WORKDAY(B458,1,공휴일!$B$4:$B$24)&lt;&gt;B458+1,"토요일","일요일"))</f>
        <v>일요일</v>
      </c>
      <c r="I458" s="125" t="str">
        <f t="shared" si="33"/>
        <v>2027-10</v>
      </c>
      <c r="J458" s="93" t="str">
        <f t="shared" si="30"/>
        <v>한문영</v>
      </c>
      <c r="K458" s="93" t="str">
        <f t="shared" si="31"/>
        <v>유진수</v>
      </c>
      <c r="L458" s="16" t="str">
        <f t="shared" si="32"/>
        <v>일</v>
      </c>
      <c r="M458" s="17" t="str">
        <f>IFERROR(VLOOKUP(B458,공휴일!B:C,2,0),"")</f>
        <v/>
      </c>
    </row>
    <row r="459" spans="2:13" x14ac:dyDescent="0.3">
      <c r="B459" s="142">
        <v>46678</v>
      </c>
      <c r="C459" s="143" t="s">
        <v>16</v>
      </c>
      <c r="D459" s="144"/>
      <c r="E459" s="143" t="s">
        <v>20</v>
      </c>
      <c r="F459" s="144"/>
      <c r="G459" s="147"/>
      <c r="H459" s="148" t="str">
        <f>IF(WORKDAY(B459-1,1,공휴일!$B$4:$B$24)=B459,IF(WORKDAY(B459,1,공휴일!$B$4:$B$24)&lt;&gt;B459+1,"금요일","평일"),IF(WORKDAY(B459,1,공휴일!$B$4:$B$24)&lt;&gt;B459+1,"토요일","일요일"))</f>
        <v>평일</v>
      </c>
      <c r="I459" s="125" t="str">
        <f t="shared" si="33"/>
        <v>2027-10</v>
      </c>
      <c r="J459" s="93" t="str">
        <f t="shared" si="30"/>
        <v>이현숙</v>
      </c>
      <c r="K459" s="93" t="str">
        <f t="shared" si="31"/>
        <v>이원철</v>
      </c>
      <c r="L459" s="16" t="str">
        <f t="shared" si="32"/>
        <v>월</v>
      </c>
      <c r="M459" s="17" t="str">
        <f>IFERROR(VLOOKUP(B459,공휴일!B:C,2,0),"")</f>
        <v/>
      </c>
    </row>
    <row r="460" spans="2:13" x14ac:dyDescent="0.3">
      <c r="B460" s="142">
        <v>46679</v>
      </c>
      <c r="C460" s="143" t="s">
        <v>13</v>
      </c>
      <c r="D460" s="144"/>
      <c r="E460" s="143" t="s">
        <v>21</v>
      </c>
      <c r="F460" s="144"/>
      <c r="G460" s="147"/>
      <c r="H460" s="148" t="str">
        <f>IF(WORKDAY(B460-1,1,공휴일!$B$4:$B$24)=B460,IF(WORKDAY(B460,1,공휴일!$B$4:$B$24)&lt;&gt;B460+1,"금요일","평일"),IF(WORKDAY(B460,1,공휴일!$B$4:$B$24)&lt;&gt;B460+1,"토요일","일요일"))</f>
        <v>평일</v>
      </c>
      <c r="I460" s="125" t="str">
        <f t="shared" si="33"/>
        <v>2027-10</v>
      </c>
      <c r="J460" s="93" t="str">
        <f t="shared" si="30"/>
        <v>안지영</v>
      </c>
      <c r="K460" s="93" t="str">
        <f t="shared" si="31"/>
        <v>정찬웅</v>
      </c>
      <c r="L460" s="16" t="str">
        <f t="shared" si="32"/>
        <v>화</v>
      </c>
      <c r="M460" s="17" t="str">
        <f>IFERROR(VLOOKUP(B460,공휴일!B:C,2,0),"")</f>
        <v/>
      </c>
    </row>
    <row r="461" spans="2:13" x14ac:dyDescent="0.3">
      <c r="B461" s="142">
        <v>46680</v>
      </c>
      <c r="C461" s="143" t="s">
        <v>41</v>
      </c>
      <c r="D461" s="144"/>
      <c r="E461" s="143" t="s">
        <v>22</v>
      </c>
      <c r="F461" s="144"/>
      <c r="G461" s="147"/>
      <c r="H461" s="148" t="str">
        <f>IF(WORKDAY(B461-1,1,공휴일!$B$4:$B$24)=B461,IF(WORKDAY(B461,1,공휴일!$B$4:$B$24)&lt;&gt;B461+1,"금요일","평일"),IF(WORKDAY(B461,1,공휴일!$B$4:$B$24)&lt;&gt;B461+1,"토요일","일요일"))</f>
        <v>평일</v>
      </c>
      <c r="I461" s="125" t="str">
        <f t="shared" si="33"/>
        <v>2027-10</v>
      </c>
      <c r="J461" s="93" t="str">
        <f t="shared" si="30"/>
        <v>송남철</v>
      </c>
      <c r="K461" s="93" t="str">
        <f t="shared" si="31"/>
        <v>서진호</v>
      </c>
      <c r="L461" s="16" t="str">
        <f t="shared" si="32"/>
        <v>수</v>
      </c>
      <c r="M461" s="17" t="str">
        <f>IFERROR(VLOOKUP(B461,공휴일!B:C,2,0),"")</f>
        <v/>
      </c>
    </row>
    <row r="462" spans="2:13" x14ac:dyDescent="0.3">
      <c r="B462" s="142">
        <v>46681</v>
      </c>
      <c r="C462" s="143" t="s">
        <v>17</v>
      </c>
      <c r="D462" s="144"/>
      <c r="E462" s="143" t="s">
        <v>11</v>
      </c>
      <c r="F462" s="144"/>
      <c r="G462" s="147"/>
      <c r="H462" s="148" t="str">
        <f>IF(WORKDAY(B462-1,1,공휴일!$B$4:$B$24)=B462,IF(WORKDAY(B462,1,공휴일!$B$4:$B$24)&lt;&gt;B462+1,"금요일","평일"),IF(WORKDAY(B462,1,공휴일!$B$4:$B$24)&lt;&gt;B462+1,"토요일","일요일"))</f>
        <v>평일</v>
      </c>
      <c r="I462" s="125" t="str">
        <f t="shared" si="33"/>
        <v>2027-10</v>
      </c>
      <c r="J462" s="93" t="str">
        <f t="shared" si="30"/>
        <v>신혜원</v>
      </c>
      <c r="K462" s="93" t="str">
        <f t="shared" si="31"/>
        <v>장민우</v>
      </c>
      <c r="L462" s="16" t="str">
        <f t="shared" si="32"/>
        <v>목</v>
      </c>
      <c r="M462" s="17" t="str">
        <f>IFERROR(VLOOKUP(B462,공휴일!B:C,2,0),"")</f>
        <v/>
      </c>
    </row>
    <row r="463" spans="2:13" x14ac:dyDescent="0.3">
      <c r="B463" s="142">
        <v>46682</v>
      </c>
      <c r="C463" s="143" t="s">
        <v>40</v>
      </c>
      <c r="D463" s="144"/>
      <c r="E463" s="143" t="s">
        <v>19</v>
      </c>
      <c r="F463" s="144"/>
      <c r="G463" s="147"/>
      <c r="H463" s="148" t="str">
        <f>IF(WORKDAY(B463-1,1,공휴일!$B$4:$B$24)=B463,IF(WORKDAY(B463,1,공휴일!$B$4:$B$24)&lt;&gt;B463+1,"금요일","평일"),IF(WORKDAY(B463,1,공휴일!$B$4:$B$24)&lt;&gt;B463+1,"토요일","일요일"))</f>
        <v>금요일</v>
      </c>
      <c r="I463" s="125" t="str">
        <f t="shared" si="33"/>
        <v>2027-10</v>
      </c>
      <c r="J463" s="93" t="str">
        <f t="shared" si="30"/>
        <v>여철호</v>
      </c>
      <c r="K463" s="93" t="str">
        <f t="shared" si="31"/>
        <v>우정수</v>
      </c>
      <c r="L463" s="16" t="str">
        <f t="shared" si="32"/>
        <v>금</v>
      </c>
      <c r="M463" s="17" t="str">
        <f>IFERROR(VLOOKUP(B463,공휴일!B:C,2,0),"")</f>
        <v/>
      </c>
    </row>
    <row r="464" spans="2:13" x14ac:dyDescent="0.3">
      <c r="B464" s="142">
        <v>46683</v>
      </c>
      <c r="C464" s="143" t="s">
        <v>15</v>
      </c>
      <c r="D464" s="144"/>
      <c r="E464" s="143" t="s">
        <v>44</v>
      </c>
      <c r="F464" s="144"/>
      <c r="G464" s="147"/>
      <c r="H464" s="148" t="str">
        <f>IF(WORKDAY(B464-1,1,공휴일!$B$4:$B$24)=B464,IF(WORKDAY(B464,1,공휴일!$B$4:$B$24)&lt;&gt;B464+1,"금요일","평일"),IF(WORKDAY(B464,1,공휴일!$B$4:$B$24)&lt;&gt;B464+1,"토요일","일요일"))</f>
        <v>토요일</v>
      </c>
      <c r="I464" s="125" t="str">
        <f t="shared" si="33"/>
        <v>2027-10</v>
      </c>
      <c r="J464" s="93" t="str">
        <f t="shared" si="30"/>
        <v>구민아</v>
      </c>
      <c r="K464" s="93" t="str">
        <f t="shared" si="31"/>
        <v>오기희</v>
      </c>
      <c r="L464" s="16" t="str">
        <f t="shared" si="32"/>
        <v>토</v>
      </c>
      <c r="M464" s="17" t="str">
        <f>IFERROR(VLOOKUP(B464,공휴일!B:C,2,0),"")</f>
        <v/>
      </c>
    </row>
    <row r="465" spans="2:13" x14ac:dyDescent="0.3">
      <c r="B465" s="142">
        <v>46684</v>
      </c>
      <c r="C465" s="143" t="s">
        <v>14</v>
      </c>
      <c r="D465" s="144"/>
      <c r="E465" s="143" t="s">
        <v>18</v>
      </c>
      <c r="F465" s="144"/>
      <c r="G465" s="147"/>
      <c r="H465" s="148" t="str">
        <f>IF(WORKDAY(B465-1,1,공휴일!$B$4:$B$24)=B465,IF(WORKDAY(B465,1,공휴일!$B$4:$B$24)&lt;&gt;B465+1,"금요일","평일"),IF(WORKDAY(B465,1,공휴일!$B$4:$B$24)&lt;&gt;B465+1,"토요일","일요일"))</f>
        <v>일요일</v>
      </c>
      <c r="I465" s="125" t="str">
        <f t="shared" si="33"/>
        <v>2027-10</v>
      </c>
      <c r="J465" s="93" t="str">
        <f t="shared" si="30"/>
        <v>고석규</v>
      </c>
      <c r="K465" s="93" t="str">
        <f t="shared" si="31"/>
        <v>이승현</v>
      </c>
      <c r="L465" s="16" t="str">
        <f t="shared" si="32"/>
        <v>일</v>
      </c>
      <c r="M465" s="17" t="str">
        <f>IFERROR(VLOOKUP(B465,공휴일!B:C,2,0),"")</f>
        <v/>
      </c>
    </row>
    <row r="466" spans="2:13" x14ac:dyDescent="0.3">
      <c r="B466" s="142">
        <v>46685</v>
      </c>
      <c r="C466" s="143" t="s">
        <v>12</v>
      </c>
      <c r="D466" s="144"/>
      <c r="E466" s="143" t="s">
        <v>10</v>
      </c>
      <c r="F466" s="144"/>
      <c r="G466" s="147"/>
      <c r="H466" s="148" t="str">
        <f>IF(WORKDAY(B466-1,1,공휴일!$B$4:$B$24)=B466,IF(WORKDAY(B466,1,공휴일!$B$4:$B$24)&lt;&gt;B466+1,"금요일","평일"),IF(WORKDAY(B466,1,공휴일!$B$4:$B$24)&lt;&gt;B466+1,"토요일","일요일"))</f>
        <v>평일</v>
      </c>
      <c r="I466" s="125" t="str">
        <f t="shared" si="33"/>
        <v>2027-10</v>
      </c>
      <c r="J466" s="93" t="str">
        <f t="shared" si="30"/>
        <v>한문영</v>
      </c>
      <c r="K466" s="93" t="str">
        <f t="shared" si="31"/>
        <v>유진수</v>
      </c>
      <c r="L466" s="16" t="str">
        <f t="shared" si="32"/>
        <v>월</v>
      </c>
      <c r="M466" s="17" t="str">
        <f>IFERROR(VLOOKUP(B466,공휴일!B:C,2,0),"")</f>
        <v/>
      </c>
    </row>
    <row r="467" spans="2:13" x14ac:dyDescent="0.3">
      <c r="B467" s="142">
        <v>46686</v>
      </c>
      <c r="C467" s="143" t="s">
        <v>16</v>
      </c>
      <c r="D467" s="144"/>
      <c r="E467" s="143" t="s">
        <v>20</v>
      </c>
      <c r="F467" s="144"/>
      <c r="G467" s="147"/>
      <c r="H467" s="148" t="str">
        <f>IF(WORKDAY(B467-1,1,공휴일!$B$4:$B$24)=B467,IF(WORKDAY(B467,1,공휴일!$B$4:$B$24)&lt;&gt;B467+1,"금요일","평일"),IF(WORKDAY(B467,1,공휴일!$B$4:$B$24)&lt;&gt;B467+1,"토요일","일요일"))</f>
        <v>평일</v>
      </c>
      <c r="I467" s="125" t="str">
        <f t="shared" si="33"/>
        <v>2027-10</v>
      </c>
      <c r="J467" s="93" t="str">
        <f t="shared" si="30"/>
        <v>이현숙</v>
      </c>
      <c r="K467" s="93" t="str">
        <f t="shared" si="31"/>
        <v>이원철</v>
      </c>
      <c r="L467" s="16" t="str">
        <f t="shared" si="32"/>
        <v>화</v>
      </c>
      <c r="M467" s="17" t="str">
        <f>IFERROR(VLOOKUP(B467,공휴일!B:C,2,0),"")</f>
        <v/>
      </c>
    </row>
    <row r="468" spans="2:13" x14ac:dyDescent="0.3">
      <c r="B468" s="142">
        <v>46687</v>
      </c>
      <c r="C468" s="143" t="s">
        <v>13</v>
      </c>
      <c r="D468" s="144"/>
      <c r="E468" s="143" t="s">
        <v>21</v>
      </c>
      <c r="F468" s="144"/>
      <c r="G468" s="147"/>
      <c r="H468" s="148" t="str">
        <f>IF(WORKDAY(B468-1,1,공휴일!$B$4:$B$24)=B468,IF(WORKDAY(B468,1,공휴일!$B$4:$B$24)&lt;&gt;B468+1,"금요일","평일"),IF(WORKDAY(B468,1,공휴일!$B$4:$B$24)&lt;&gt;B468+1,"토요일","일요일"))</f>
        <v>평일</v>
      </c>
      <c r="I468" s="125" t="str">
        <f t="shared" si="33"/>
        <v>2027-10</v>
      </c>
      <c r="J468" s="93" t="str">
        <f t="shared" si="30"/>
        <v>안지영</v>
      </c>
      <c r="K468" s="93" t="str">
        <f t="shared" si="31"/>
        <v>정찬웅</v>
      </c>
      <c r="L468" s="16" t="str">
        <f t="shared" si="32"/>
        <v>수</v>
      </c>
      <c r="M468" s="17" t="str">
        <f>IFERROR(VLOOKUP(B468,공휴일!B:C,2,0),"")</f>
        <v/>
      </c>
    </row>
    <row r="469" spans="2:13" x14ac:dyDescent="0.3">
      <c r="B469" s="142">
        <v>46688</v>
      </c>
      <c r="C469" s="143" t="s">
        <v>41</v>
      </c>
      <c r="D469" s="144"/>
      <c r="E469" s="143" t="s">
        <v>22</v>
      </c>
      <c r="F469" s="144"/>
      <c r="G469" s="147"/>
      <c r="H469" s="148" t="str">
        <f>IF(WORKDAY(B469-1,1,공휴일!$B$4:$B$24)=B469,IF(WORKDAY(B469,1,공휴일!$B$4:$B$24)&lt;&gt;B469+1,"금요일","평일"),IF(WORKDAY(B469,1,공휴일!$B$4:$B$24)&lt;&gt;B469+1,"토요일","일요일"))</f>
        <v>평일</v>
      </c>
      <c r="I469" s="125" t="str">
        <f t="shared" si="33"/>
        <v>2027-10</v>
      </c>
      <c r="J469" s="93" t="str">
        <f t="shared" si="30"/>
        <v>송남철</v>
      </c>
      <c r="K469" s="93" t="str">
        <f t="shared" si="31"/>
        <v>서진호</v>
      </c>
      <c r="L469" s="16" t="str">
        <f t="shared" si="32"/>
        <v>목</v>
      </c>
      <c r="M469" s="17" t="str">
        <f>IFERROR(VLOOKUP(B469,공휴일!B:C,2,0),"")</f>
        <v/>
      </c>
    </row>
    <row r="470" spans="2:13" x14ac:dyDescent="0.3">
      <c r="B470" s="142">
        <v>46689</v>
      </c>
      <c r="C470" s="143" t="s">
        <v>17</v>
      </c>
      <c r="D470" s="144"/>
      <c r="E470" s="143" t="s">
        <v>11</v>
      </c>
      <c r="F470" s="144"/>
      <c r="G470" s="147"/>
      <c r="H470" s="148" t="str">
        <f>IF(WORKDAY(B470-1,1,공휴일!$B$4:$B$24)=B470,IF(WORKDAY(B470,1,공휴일!$B$4:$B$24)&lt;&gt;B470+1,"금요일","평일"),IF(WORKDAY(B470,1,공휴일!$B$4:$B$24)&lt;&gt;B470+1,"토요일","일요일"))</f>
        <v>금요일</v>
      </c>
      <c r="I470" s="125" t="str">
        <f t="shared" si="33"/>
        <v>2027-10</v>
      </c>
      <c r="J470" s="93" t="str">
        <f t="shared" si="30"/>
        <v>신혜원</v>
      </c>
      <c r="K470" s="93" t="str">
        <f t="shared" si="31"/>
        <v>장민우</v>
      </c>
      <c r="L470" s="16" t="str">
        <f t="shared" si="32"/>
        <v>금</v>
      </c>
      <c r="M470" s="17" t="str">
        <f>IFERROR(VLOOKUP(B470,공휴일!B:C,2,0),"")</f>
        <v/>
      </c>
    </row>
    <row r="471" spans="2:13" x14ac:dyDescent="0.3">
      <c r="B471" s="142">
        <v>46690</v>
      </c>
      <c r="C471" s="143" t="s">
        <v>40</v>
      </c>
      <c r="D471" s="144"/>
      <c r="E471" s="143" t="s">
        <v>19</v>
      </c>
      <c r="F471" s="144"/>
      <c r="G471" s="147"/>
      <c r="H471" s="148" t="str">
        <f>IF(WORKDAY(B471-1,1,공휴일!$B$4:$B$24)=B471,IF(WORKDAY(B471,1,공휴일!$B$4:$B$24)&lt;&gt;B471+1,"금요일","평일"),IF(WORKDAY(B471,1,공휴일!$B$4:$B$24)&lt;&gt;B471+1,"토요일","일요일"))</f>
        <v>토요일</v>
      </c>
      <c r="I471" s="125" t="str">
        <f t="shared" si="33"/>
        <v>2027-10</v>
      </c>
      <c r="J471" s="93" t="str">
        <f t="shared" si="30"/>
        <v>여철호</v>
      </c>
      <c r="K471" s="93" t="str">
        <f t="shared" si="31"/>
        <v>우정수</v>
      </c>
      <c r="L471" s="16" t="str">
        <f t="shared" si="32"/>
        <v>토</v>
      </c>
      <c r="M471" s="17" t="str">
        <f>IFERROR(VLOOKUP(B471,공휴일!B:C,2,0),"")</f>
        <v/>
      </c>
    </row>
    <row r="472" spans="2:13" x14ac:dyDescent="0.3">
      <c r="B472" s="142">
        <v>46691</v>
      </c>
      <c r="C472" s="143" t="s">
        <v>15</v>
      </c>
      <c r="D472" s="144"/>
      <c r="E472" s="143" t="s">
        <v>44</v>
      </c>
      <c r="F472" s="144"/>
      <c r="G472" s="147"/>
      <c r="H472" s="148" t="str">
        <f>IF(WORKDAY(B472-1,1,공휴일!$B$4:$B$24)=B472,IF(WORKDAY(B472,1,공휴일!$B$4:$B$24)&lt;&gt;B472+1,"금요일","평일"),IF(WORKDAY(B472,1,공휴일!$B$4:$B$24)&lt;&gt;B472+1,"토요일","일요일"))</f>
        <v>일요일</v>
      </c>
      <c r="I472" s="125" t="str">
        <f t="shared" si="33"/>
        <v>2027-10</v>
      </c>
      <c r="J472" s="93" t="str">
        <f t="shared" si="30"/>
        <v>구민아</v>
      </c>
      <c r="K472" s="93" t="str">
        <f t="shared" si="31"/>
        <v>오기희</v>
      </c>
      <c r="L472" s="16" t="str">
        <f t="shared" si="32"/>
        <v>일</v>
      </c>
      <c r="M472" s="17" t="str">
        <f>IFERROR(VLOOKUP(B472,공휴일!B:C,2,0),"")</f>
        <v/>
      </c>
    </row>
    <row r="473" spans="2:13" x14ac:dyDescent="0.3">
      <c r="B473" s="142">
        <v>46692</v>
      </c>
      <c r="C473" s="143" t="s">
        <v>14</v>
      </c>
      <c r="D473" s="144"/>
      <c r="E473" s="143" t="s">
        <v>18</v>
      </c>
      <c r="F473" s="144"/>
      <c r="G473" s="147"/>
      <c r="H473" s="148" t="str">
        <f>IF(WORKDAY(B473-1,1,공휴일!$B$4:$B$24)=B473,IF(WORKDAY(B473,1,공휴일!$B$4:$B$24)&lt;&gt;B473+1,"금요일","평일"),IF(WORKDAY(B473,1,공휴일!$B$4:$B$24)&lt;&gt;B473+1,"토요일","일요일"))</f>
        <v>평일</v>
      </c>
      <c r="I473" s="125" t="str">
        <f t="shared" si="33"/>
        <v>2027-11</v>
      </c>
      <c r="J473" s="93" t="str">
        <f t="shared" si="30"/>
        <v>고석규</v>
      </c>
      <c r="K473" s="93" t="str">
        <f t="shared" si="31"/>
        <v>이승현</v>
      </c>
      <c r="L473" s="16" t="str">
        <f t="shared" si="32"/>
        <v>월</v>
      </c>
      <c r="M473" s="17" t="str">
        <f>IFERROR(VLOOKUP(B473,공휴일!B:C,2,0),"")</f>
        <v/>
      </c>
    </row>
    <row r="474" spans="2:13" x14ac:dyDescent="0.3">
      <c r="B474" s="142">
        <v>46693</v>
      </c>
      <c r="C474" s="143" t="s">
        <v>12</v>
      </c>
      <c r="D474" s="144"/>
      <c r="E474" s="143" t="s">
        <v>10</v>
      </c>
      <c r="F474" s="144"/>
      <c r="G474" s="147"/>
      <c r="H474" s="148" t="str">
        <f>IF(WORKDAY(B474-1,1,공휴일!$B$4:$B$24)=B474,IF(WORKDAY(B474,1,공휴일!$B$4:$B$24)&lt;&gt;B474+1,"금요일","평일"),IF(WORKDAY(B474,1,공휴일!$B$4:$B$24)&lt;&gt;B474+1,"토요일","일요일"))</f>
        <v>평일</v>
      </c>
      <c r="I474" s="125" t="str">
        <f t="shared" si="33"/>
        <v>2027-11</v>
      </c>
      <c r="J474" s="93" t="str">
        <f t="shared" si="30"/>
        <v>한문영</v>
      </c>
      <c r="K474" s="93" t="str">
        <f t="shared" si="31"/>
        <v>유진수</v>
      </c>
      <c r="L474" s="16" t="str">
        <f t="shared" si="32"/>
        <v>화</v>
      </c>
      <c r="M474" s="17" t="str">
        <f>IFERROR(VLOOKUP(B474,공휴일!B:C,2,0),"")</f>
        <v/>
      </c>
    </row>
    <row r="475" spans="2:13" x14ac:dyDescent="0.3">
      <c r="B475" s="142">
        <v>46694</v>
      </c>
      <c r="C475" s="143" t="s">
        <v>16</v>
      </c>
      <c r="D475" s="144"/>
      <c r="E475" s="143" t="s">
        <v>20</v>
      </c>
      <c r="F475" s="144"/>
      <c r="G475" s="147"/>
      <c r="H475" s="148" t="str">
        <f>IF(WORKDAY(B475-1,1,공휴일!$B$4:$B$24)=B475,IF(WORKDAY(B475,1,공휴일!$B$4:$B$24)&lt;&gt;B475+1,"금요일","평일"),IF(WORKDAY(B475,1,공휴일!$B$4:$B$24)&lt;&gt;B475+1,"토요일","일요일"))</f>
        <v>평일</v>
      </c>
      <c r="I475" s="125" t="str">
        <f t="shared" si="33"/>
        <v>2027-11</v>
      </c>
      <c r="J475" s="93" t="str">
        <f t="shared" si="30"/>
        <v>이현숙</v>
      </c>
      <c r="K475" s="93" t="str">
        <f t="shared" si="31"/>
        <v>이원철</v>
      </c>
      <c r="L475" s="16" t="str">
        <f t="shared" si="32"/>
        <v>수</v>
      </c>
      <c r="M475" s="17" t="str">
        <f>IFERROR(VLOOKUP(B475,공휴일!B:C,2,0),"")</f>
        <v/>
      </c>
    </row>
    <row r="476" spans="2:13" x14ac:dyDescent="0.3">
      <c r="B476" s="142">
        <v>46695</v>
      </c>
      <c r="C476" s="143" t="s">
        <v>13</v>
      </c>
      <c r="D476" s="144"/>
      <c r="E476" s="143" t="s">
        <v>21</v>
      </c>
      <c r="F476" s="144"/>
      <c r="G476" s="147"/>
      <c r="H476" s="148" t="str">
        <f>IF(WORKDAY(B476-1,1,공휴일!$B$4:$B$24)=B476,IF(WORKDAY(B476,1,공휴일!$B$4:$B$24)&lt;&gt;B476+1,"금요일","평일"),IF(WORKDAY(B476,1,공휴일!$B$4:$B$24)&lt;&gt;B476+1,"토요일","일요일"))</f>
        <v>평일</v>
      </c>
      <c r="I476" s="125" t="str">
        <f t="shared" si="33"/>
        <v>2027-11</v>
      </c>
      <c r="J476" s="93" t="str">
        <f t="shared" si="30"/>
        <v>안지영</v>
      </c>
      <c r="K476" s="93" t="str">
        <f t="shared" si="31"/>
        <v>정찬웅</v>
      </c>
      <c r="L476" s="16" t="str">
        <f t="shared" si="32"/>
        <v>목</v>
      </c>
      <c r="M476" s="17" t="str">
        <f>IFERROR(VLOOKUP(B476,공휴일!B:C,2,0),"")</f>
        <v/>
      </c>
    </row>
    <row r="477" spans="2:13" x14ac:dyDescent="0.3">
      <c r="B477" s="142">
        <v>46696</v>
      </c>
      <c r="C477" s="143" t="s">
        <v>41</v>
      </c>
      <c r="D477" s="144"/>
      <c r="E477" s="143" t="s">
        <v>22</v>
      </c>
      <c r="F477" s="144"/>
      <c r="G477" s="147"/>
      <c r="H477" s="148" t="str">
        <f>IF(WORKDAY(B477-1,1,공휴일!$B$4:$B$24)=B477,IF(WORKDAY(B477,1,공휴일!$B$4:$B$24)&lt;&gt;B477+1,"금요일","평일"),IF(WORKDAY(B477,1,공휴일!$B$4:$B$24)&lt;&gt;B477+1,"토요일","일요일"))</f>
        <v>금요일</v>
      </c>
      <c r="I477" s="125" t="str">
        <f t="shared" si="33"/>
        <v>2027-11</v>
      </c>
      <c r="J477" s="93" t="str">
        <f t="shared" si="30"/>
        <v>송남철</v>
      </c>
      <c r="K477" s="93" t="str">
        <f t="shared" si="31"/>
        <v>서진호</v>
      </c>
      <c r="L477" s="16" t="str">
        <f t="shared" si="32"/>
        <v>금</v>
      </c>
      <c r="M477" s="17" t="str">
        <f>IFERROR(VLOOKUP(B477,공휴일!B:C,2,0),"")</f>
        <v/>
      </c>
    </row>
    <row r="478" spans="2:13" x14ac:dyDescent="0.3">
      <c r="B478" s="142">
        <v>46697</v>
      </c>
      <c r="C478" s="143" t="s">
        <v>17</v>
      </c>
      <c r="D478" s="144"/>
      <c r="E478" s="143" t="s">
        <v>11</v>
      </c>
      <c r="F478" s="144"/>
      <c r="G478" s="147"/>
      <c r="H478" s="148" t="str">
        <f>IF(WORKDAY(B478-1,1,공휴일!$B$4:$B$24)=B478,IF(WORKDAY(B478,1,공휴일!$B$4:$B$24)&lt;&gt;B478+1,"금요일","평일"),IF(WORKDAY(B478,1,공휴일!$B$4:$B$24)&lt;&gt;B478+1,"토요일","일요일"))</f>
        <v>토요일</v>
      </c>
      <c r="I478" s="125" t="str">
        <f t="shared" si="33"/>
        <v>2027-11</v>
      </c>
      <c r="J478" s="93" t="str">
        <f t="shared" si="30"/>
        <v>신혜원</v>
      </c>
      <c r="K478" s="93" t="str">
        <f t="shared" si="31"/>
        <v>장민우</v>
      </c>
      <c r="L478" s="16" t="str">
        <f t="shared" si="32"/>
        <v>토</v>
      </c>
      <c r="M478" s="17" t="str">
        <f>IFERROR(VLOOKUP(B478,공휴일!B:C,2,0),"")</f>
        <v/>
      </c>
    </row>
    <row r="479" spans="2:13" x14ac:dyDescent="0.3">
      <c r="B479" s="142">
        <v>46698</v>
      </c>
      <c r="C479" s="143" t="s">
        <v>40</v>
      </c>
      <c r="D479" s="144"/>
      <c r="E479" s="143" t="s">
        <v>19</v>
      </c>
      <c r="F479" s="144"/>
      <c r="G479" s="147"/>
      <c r="H479" s="148" t="str">
        <f>IF(WORKDAY(B479-1,1,공휴일!$B$4:$B$24)=B479,IF(WORKDAY(B479,1,공휴일!$B$4:$B$24)&lt;&gt;B479+1,"금요일","평일"),IF(WORKDAY(B479,1,공휴일!$B$4:$B$24)&lt;&gt;B479+1,"토요일","일요일"))</f>
        <v>일요일</v>
      </c>
      <c r="I479" s="125" t="str">
        <f t="shared" si="33"/>
        <v>2027-11</v>
      </c>
      <c r="J479" s="93" t="str">
        <f t="shared" si="30"/>
        <v>여철호</v>
      </c>
      <c r="K479" s="93" t="str">
        <f t="shared" si="31"/>
        <v>우정수</v>
      </c>
      <c r="L479" s="16" t="str">
        <f t="shared" si="32"/>
        <v>일</v>
      </c>
      <c r="M479" s="17" t="str">
        <f>IFERROR(VLOOKUP(B479,공휴일!B:C,2,0),"")</f>
        <v/>
      </c>
    </row>
    <row r="480" spans="2:13" x14ac:dyDescent="0.3">
      <c r="B480" s="142">
        <v>46699</v>
      </c>
      <c r="C480" s="143" t="s">
        <v>15</v>
      </c>
      <c r="D480" s="144"/>
      <c r="E480" s="143" t="s">
        <v>44</v>
      </c>
      <c r="F480" s="144"/>
      <c r="G480" s="147"/>
      <c r="H480" s="148" t="str">
        <f>IF(WORKDAY(B480-1,1,공휴일!$B$4:$B$24)=B480,IF(WORKDAY(B480,1,공휴일!$B$4:$B$24)&lt;&gt;B480+1,"금요일","평일"),IF(WORKDAY(B480,1,공휴일!$B$4:$B$24)&lt;&gt;B480+1,"토요일","일요일"))</f>
        <v>평일</v>
      </c>
      <c r="I480" s="125" t="str">
        <f t="shared" si="33"/>
        <v>2027-11</v>
      </c>
      <c r="J480" s="93" t="str">
        <f t="shared" si="30"/>
        <v>구민아</v>
      </c>
      <c r="K480" s="93" t="str">
        <f t="shared" si="31"/>
        <v>오기희</v>
      </c>
      <c r="L480" s="16" t="str">
        <f t="shared" si="32"/>
        <v>월</v>
      </c>
      <c r="M480" s="17" t="str">
        <f>IFERROR(VLOOKUP(B480,공휴일!B:C,2,0),"")</f>
        <v/>
      </c>
    </row>
    <row r="481" spans="2:13" x14ac:dyDescent="0.3">
      <c r="B481" s="142">
        <v>46700</v>
      </c>
      <c r="C481" s="143" t="s">
        <v>14</v>
      </c>
      <c r="D481" s="144"/>
      <c r="E481" s="143" t="s">
        <v>18</v>
      </c>
      <c r="F481" s="144"/>
      <c r="G481" s="147"/>
      <c r="H481" s="148" t="str">
        <f>IF(WORKDAY(B481-1,1,공휴일!$B$4:$B$24)=B481,IF(WORKDAY(B481,1,공휴일!$B$4:$B$24)&lt;&gt;B481+1,"금요일","평일"),IF(WORKDAY(B481,1,공휴일!$B$4:$B$24)&lt;&gt;B481+1,"토요일","일요일"))</f>
        <v>평일</v>
      </c>
      <c r="I481" s="125" t="str">
        <f t="shared" si="33"/>
        <v>2027-11</v>
      </c>
      <c r="J481" s="93" t="str">
        <f t="shared" si="30"/>
        <v>고석규</v>
      </c>
      <c r="K481" s="93" t="str">
        <f t="shared" si="31"/>
        <v>이승현</v>
      </c>
      <c r="L481" s="16" t="str">
        <f t="shared" si="32"/>
        <v>화</v>
      </c>
      <c r="M481" s="17" t="str">
        <f>IFERROR(VLOOKUP(B481,공휴일!B:C,2,0),"")</f>
        <v/>
      </c>
    </row>
    <row r="482" spans="2:13" x14ac:dyDescent="0.3">
      <c r="B482" s="142">
        <v>46701</v>
      </c>
      <c r="C482" s="143" t="s">
        <v>12</v>
      </c>
      <c r="D482" s="144"/>
      <c r="E482" s="143" t="s">
        <v>10</v>
      </c>
      <c r="F482" s="144"/>
      <c r="G482" s="147"/>
      <c r="H482" s="148" t="str">
        <f>IF(WORKDAY(B482-1,1,공휴일!$B$4:$B$24)=B482,IF(WORKDAY(B482,1,공휴일!$B$4:$B$24)&lt;&gt;B482+1,"금요일","평일"),IF(WORKDAY(B482,1,공휴일!$B$4:$B$24)&lt;&gt;B482+1,"토요일","일요일"))</f>
        <v>평일</v>
      </c>
      <c r="I482" s="125" t="str">
        <f t="shared" si="33"/>
        <v>2027-11</v>
      </c>
      <c r="J482" s="93" t="str">
        <f t="shared" si="30"/>
        <v>한문영</v>
      </c>
      <c r="K482" s="93" t="str">
        <f t="shared" si="31"/>
        <v>유진수</v>
      </c>
      <c r="L482" s="16" t="str">
        <f t="shared" si="32"/>
        <v>수</v>
      </c>
      <c r="M482" s="17" t="str">
        <f>IFERROR(VLOOKUP(B482,공휴일!B:C,2,0),"")</f>
        <v/>
      </c>
    </row>
    <row r="483" spans="2:13" x14ac:dyDescent="0.3">
      <c r="B483" s="142">
        <v>46702</v>
      </c>
      <c r="C483" s="143" t="s">
        <v>16</v>
      </c>
      <c r="D483" s="144"/>
      <c r="E483" s="143" t="s">
        <v>20</v>
      </c>
      <c r="F483" s="144"/>
      <c r="G483" s="147"/>
      <c r="H483" s="148" t="str">
        <f>IF(WORKDAY(B483-1,1,공휴일!$B$4:$B$24)=B483,IF(WORKDAY(B483,1,공휴일!$B$4:$B$24)&lt;&gt;B483+1,"금요일","평일"),IF(WORKDAY(B483,1,공휴일!$B$4:$B$24)&lt;&gt;B483+1,"토요일","일요일"))</f>
        <v>평일</v>
      </c>
      <c r="I483" s="125" t="str">
        <f t="shared" si="33"/>
        <v>2027-11</v>
      </c>
      <c r="J483" s="93" t="str">
        <f t="shared" si="30"/>
        <v>이현숙</v>
      </c>
      <c r="K483" s="93" t="str">
        <f t="shared" si="31"/>
        <v>이원철</v>
      </c>
      <c r="L483" s="16" t="str">
        <f t="shared" si="32"/>
        <v>목</v>
      </c>
      <c r="M483" s="17" t="str">
        <f>IFERROR(VLOOKUP(B483,공휴일!B:C,2,0),"")</f>
        <v/>
      </c>
    </row>
    <row r="484" spans="2:13" x14ac:dyDescent="0.3">
      <c r="B484" s="142">
        <v>46703</v>
      </c>
      <c r="C484" s="143" t="s">
        <v>13</v>
      </c>
      <c r="D484" s="144"/>
      <c r="E484" s="143" t="s">
        <v>21</v>
      </c>
      <c r="F484" s="144"/>
      <c r="G484" s="147"/>
      <c r="H484" s="148" t="str">
        <f>IF(WORKDAY(B484-1,1,공휴일!$B$4:$B$24)=B484,IF(WORKDAY(B484,1,공휴일!$B$4:$B$24)&lt;&gt;B484+1,"금요일","평일"),IF(WORKDAY(B484,1,공휴일!$B$4:$B$24)&lt;&gt;B484+1,"토요일","일요일"))</f>
        <v>금요일</v>
      </c>
      <c r="I484" s="125" t="str">
        <f t="shared" si="33"/>
        <v>2027-11</v>
      </c>
      <c r="J484" s="93" t="str">
        <f t="shared" si="30"/>
        <v>안지영</v>
      </c>
      <c r="K484" s="93" t="str">
        <f t="shared" si="31"/>
        <v>정찬웅</v>
      </c>
      <c r="L484" s="16" t="str">
        <f t="shared" si="32"/>
        <v>금</v>
      </c>
      <c r="M484" s="17" t="str">
        <f>IFERROR(VLOOKUP(B484,공휴일!B:C,2,0),"")</f>
        <v/>
      </c>
    </row>
    <row r="485" spans="2:13" x14ac:dyDescent="0.3">
      <c r="B485" s="142">
        <v>46704</v>
      </c>
      <c r="C485" s="143" t="s">
        <v>41</v>
      </c>
      <c r="D485" s="144"/>
      <c r="E485" s="143" t="s">
        <v>22</v>
      </c>
      <c r="F485" s="144"/>
      <c r="G485" s="147"/>
      <c r="H485" s="148" t="str">
        <f>IF(WORKDAY(B485-1,1,공휴일!$B$4:$B$24)=B485,IF(WORKDAY(B485,1,공휴일!$B$4:$B$24)&lt;&gt;B485+1,"금요일","평일"),IF(WORKDAY(B485,1,공휴일!$B$4:$B$24)&lt;&gt;B485+1,"토요일","일요일"))</f>
        <v>토요일</v>
      </c>
      <c r="I485" s="125" t="str">
        <f t="shared" si="33"/>
        <v>2027-11</v>
      </c>
      <c r="J485" s="93" t="str">
        <f t="shared" si="30"/>
        <v>송남철</v>
      </c>
      <c r="K485" s="93" t="str">
        <f t="shared" si="31"/>
        <v>서진호</v>
      </c>
      <c r="L485" s="16" t="str">
        <f t="shared" si="32"/>
        <v>토</v>
      </c>
      <c r="M485" s="17" t="str">
        <f>IFERROR(VLOOKUP(B485,공휴일!B:C,2,0),"")</f>
        <v/>
      </c>
    </row>
    <row r="486" spans="2:13" x14ac:dyDescent="0.3">
      <c r="B486" s="142">
        <v>46705</v>
      </c>
      <c r="C486" s="143" t="s">
        <v>17</v>
      </c>
      <c r="D486" s="144"/>
      <c r="E486" s="143" t="s">
        <v>11</v>
      </c>
      <c r="F486" s="144"/>
      <c r="G486" s="147"/>
      <c r="H486" s="148" t="str">
        <f>IF(WORKDAY(B486-1,1,공휴일!$B$4:$B$24)=B486,IF(WORKDAY(B486,1,공휴일!$B$4:$B$24)&lt;&gt;B486+1,"금요일","평일"),IF(WORKDAY(B486,1,공휴일!$B$4:$B$24)&lt;&gt;B486+1,"토요일","일요일"))</f>
        <v>일요일</v>
      </c>
      <c r="I486" s="125" t="str">
        <f t="shared" si="33"/>
        <v>2027-11</v>
      </c>
      <c r="J486" s="93" t="str">
        <f t="shared" si="30"/>
        <v>신혜원</v>
      </c>
      <c r="K486" s="93" t="str">
        <f t="shared" si="31"/>
        <v>장민우</v>
      </c>
      <c r="L486" s="16" t="str">
        <f t="shared" si="32"/>
        <v>일</v>
      </c>
      <c r="M486" s="17" t="str">
        <f>IFERROR(VLOOKUP(B486,공휴일!B:C,2,0),"")</f>
        <v/>
      </c>
    </row>
    <row r="487" spans="2:13" x14ac:dyDescent="0.3">
      <c r="B487" s="142">
        <v>46706</v>
      </c>
      <c r="C487" s="143" t="s">
        <v>40</v>
      </c>
      <c r="D487" s="144"/>
      <c r="E487" s="143" t="s">
        <v>19</v>
      </c>
      <c r="F487" s="144"/>
      <c r="G487" s="147"/>
      <c r="H487" s="148" t="str">
        <f>IF(WORKDAY(B487-1,1,공휴일!$B$4:$B$24)=B487,IF(WORKDAY(B487,1,공휴일!$B$4:$B$24)&lt;&gt;B487+1,"금요일","평일"),IF(WORKDAY(B487,1,공휴일!$B$4:$B$24)&lt;&gt;B487+1,"토요일","일요일"))</f>
        <v>평일</v>
      </c>
      <c r="I487" s="125" t="str">
        <f t="shared" si="33"/>
        <v>2027-11</v>
      </c>
      <c r="J487" s="93" t="str">
        <f t="shared" si="30"/>
        <v>여철호</v>
      </c>
      <c r="K487" s="93" t="str">
        <f t="shared" si="31"/>
        <v>우정수</v>
      </c>
      <c r="L487" s="16" t="str">
        <f t="shared" si="32"/>
        <v>월</v>
      </c>
      <c r="M487" s="17" t="str">
        <f>IFERROR(VLOOKUP(B487,공휴일!B:C,2,0),"")</f>
        <v/>
      </c>
    </row>
    <row r="488" spans="2:13" x14ac:dyDescent="0.3">
      <c r="B488" s="142">
        <v>46707</v>
      </c>
      <c r="C488" s="143" t="s">
        <v>15</v>
      </c>
      <c r="D488" s="144"/>
      <c r="E488" s="143" t="s">
        <v>44</v>
      </c>
      <c r="F488" s="144"/>
      <c r="G488" s="147"/>
      <c r="H488" s="148" t="str">
        <f>IF(WORKDAY(B488-1,1,공휴일!$B$4:$B$24)=B488,IF(WORKDAY(B488,1,공휴일!$B$4:$B$24)&lt;&gt;B488+1,"금요일","평일"),IF(WORKDAY(B488,1,공휴일!$B$4:$B$24)&lt;&gt;B488+1,"토요일","일요일"))</f>
        <v>평일</v>
      </c>
      <c r="I488" s="125" t="str">
        <f t="shared" si="33"/>
        <v>2027-11</v>
      </c>
      <c r="J488" s="93" t="str">
        <f t="shared" si="30"/>
        <v>구민아</v>
      </c>
      <c r="K488" s="93" t="str">
        <f t="shared" si="31"/>
        <v>오기희</v>
      </c>
      <c r="L488" s="16" t="str">
        <f t="shared" si="32"/>
        <v>화</v>
      </c>
      <c r="M488" s="17" t="str">
        <f>IFERROR(VLOOKUP(B488,공휴일!B:C,2,0),"")</f>
        <v/>
      </c>
    </row>
    <row r="489" spans="2:13" x14ac:dyDescent="0.3">
      <c r="B489" s="142">
        <v>46708</v>
      </c>
      <c r="C489" s="143" t="s">
        <v>14</v>
      </c>
      <c r="D489" s="144"/>
      <c r="E489" s="143" t="s">
        <v>18</v>
      </c>
      <c r="F489" s="144"/>
      <c r="G489" s="147"/>
      <c r="H489" s="148" t="str">
        <f>IF(WORKDAY(B489-1,1,공휴일!$B$4:$B$24)=B489,IF(WORKDAY(B489,1,공휴일!$B$4:$B$24)&lt;&gt;B489+1,"금요일","평일"),IF(WORKDAY(B489,1,공휴일!$B$4:$B$24)&lt;&gt;B489+1,"토요일","일요일"))</f>
        <v>평일</v>
      </c>
      <c r="I489" s="125" t="str">
        <f t="shared" si="33"/>
        <v>2027-11</v>
      </c>
      <c r="J489" s="93" t="str">
        <f t="shared" ref="J489:J552" si="34">IF(D489="",C489,D489)</f>
        <v>고석규</v>
      </c>
      <c r="K489" s="93" t="str">
        <f t="shared" ref="K489:K552" si="35">IF(F489="",E489,F489)</f>
        <v>이승현</v>
      </c>
      <c r="L489" s="16" t="str">
        <f t="shared" ref="L489:L552" si="36">TEXT(B489,"aaa")</f>
        <v>수</v>
      </c>
      <c r="M489" s="17" t="str">
        <f>IFERROR(VLOOKUP(B489,공휴일!B:C,2,0),"")</f>
        <v/>
      </c>
    </row>
    <row r="490" spans="2:13" x14ac:dyDescent="0.3">
      <c r="B490" s="142">
        <v>46709</v>
      </c>
      <c r="C490" s="143" t="s">
        <v>12</v>
      </c>
      <c r="D490" s="144"/>
      <c r="E490" s="143" t="s">
        <v>10</v>
      </c>
      <c r="F490" s="144"/>
      <c r="G490" s="147"/>
      <c r="H490" s="148" t="str">
        <f>IF(WORKDAY(B490-1,1,공휴일!$B$4:$B$24)=B490,IF(WORKDAY(B490,1,공휴일!$B$4:$B$24)&lt;&gt;B490+1,"금요일","평일"),IF(WORKDAY(B490,1,공휴일!$B$4:$B$24)&lt;&gt;B490+1,"토요일","일요일"))</f>
        <v>평일</v>
      </c>
      <c r="I490" s="125" t="str">
        <f t="shared" si="33"/>
        <v>2027-11</v>
      </c>
      <c r="J490" s="93" t="str">
        <f t="shared" si="34"/>
        <v>한문영</v>
      </c>
      <c r="K490" s="93" t="str">
        <f t="shared" si="35"/>
        <v>유진수</v>
      </c>
      <c r="L490" s="16" t="str">
        <f t="shared" si="36"/>
        <v>목</v>
      </c>
      <c r="M490" s="17" t="str">
        <f>IFERROR(VLOOKUP(B490,공휴일!B:C,2,0),"")</f>
        <v/>
      </c>
    </row>
    <row r="491" spans="2:13" x14ac:dyDescent="0.3">
      <c r="B491" s="142">
        <v>46710</v>
      </c>
      <c r="C491" s="143" t="s">
        <v>16</v>
      </c>
      <c r="D491" s="144"/>
      <c r="E491" s="143" t="s">
        <v>20</v>
      </c>
      <c r="F491" s="144"/>
      <c r="G491" s="147"/>
      <c r="H491" s="148" t="str">
        <f>IF(WORKDAY(B491-1,1,공휴일!$B$4:$B$24)=B491,IF(WORKDAY(B491,1,공휴일!$B$4:$B$24)&lt;&gt;B491+1,"금요일","평일"),IF(WORKDAY(B491,1,공휴일!$B$4:$B$24)&lt;&gt;B491+1,"토요일","일요일"))</f>
        <v>금요일</v>
      </c>
      <c r="I491" s="125" t="str">
        <f t="shared" si="33"/>
        <v>2027-11</v>
      </c>
      <c r="J491" s="93" t="str">
        <f t="shared" si="34"/>
        <v>이현숙</v>
      </c>
      <c r="K491" s="93" t="str">
        <f t="shared" si="35"/>
        <v>이원철</v>
      </c>
      <c r="L491" s="16" t="str">
        <f t="shared" si="36"/>
        <v>금</v>
      </c>
      <c r="M491" s="17" t="str">
        <f>IFERROR(VLOOKUP(B491,공휴일!B:C,2,0),"")</f>
        <v/>
      </c>
    </row>
    <row r="492" spans="2:13" x14ac:dyDescent="0.3">
      <c r="B492" s="142">
        <v>46711</v>
      </c>
      <c r="C492" s="143" t="s">
        <v>13</v>
      </c>
      <c r="D492" s="144"/>
      <c r="E492" s="143" t="s">
        <v>21</v>
      </c>
      <c r="F492" s="144"/>
      <c r="G492" s="147"/>
      <c r="H492" s="148" t="str">
        <f>IF(WORKDAY(B492-1,1,공휴일!$B$4:$B$24)=B492,IF(WORKDAY(B492,1,공휴일!$B$4:$B$24)&lt;&gt;B492+1,"금요일","평일"),IF(WORKDAY(B492,1,공휴일!$B$4:$B$24)&lt;&gt;B492+1,"토요일","일요일"))</f>
        <v>토요일</v>
      </c>
      <c r="I492" s="125" t="str">
        <f t="shared" si="33"/>
        <v>2027-11</v>
      </c>
      <c r="J492" s="93" t="str">
        <f t="shared" si="34"/>
        <v>안지영</v>
      </c>
      <c r="K492" s="93" t="str">
        <f t="shared" si="35"/>
        <v>정찬웅</v>
      </c>
      <c r="L492" s="16" t="str">
        <f t="shared" si="36"/>
        <v>토</v>
      </c>
      <c r="M492" s="17" t="str">
        <f>IFERROR(VLOOKUP(B492,공휴일!B:C,2,0),"")</f>
        <v/>
      </c>
    </row>
    <row r="493" spans="2:13" x14ac:dyDescent="0.3">
      <c r="B493" s="142">
        <v>46712</v>
      </c>
      <c r="C493" s="143" t="s">
        <v>41</v>
      </c>
      <c r="D493" s="144"/>
      <c r="E493" s="143" t="s">
        <v>22</v>
      </c>
      <c r="F493" s="144"/>
      <c r="G493" s="147"/>
      <c r="H493" s="148" t="str">
        <f>IF(WORKDAY(B493-1,1,공휴일!$B$4:$B$24)=B493,IF(WORKDAY(B493,1,공휴일!$B$4:$B$24)&lt;&gt;B493+1,"금요일","평일"),IF(WORKDAY(B493,1,공휴일!$B$4:$B$24)&lt;&gt;B493+1,"토요일","일요일"))</f>
        <v>일요일</v>
      </c>
      <c r="I493" s="125" t="str">
        <f t="shared" si="33"/>
        <v>2027-11</v>
      </c>
      <c r="J493" s="93" t="str">
        <f t="shared" si="34"/>
        <v>송남철</v>
      </c>
      <c r="K493" s="93" t="str">
        <f t="shared" si="35"/>
        <v>서진호</v>
      </c>
      <c r="L493" s="16" t="str">
        <f t="shared" si="36"/>
        <v>일</v>
      </c>
      <c r="M493" s="17" t="str">
        <f>IFERROR(VLOOKUP(B493,공휴일!B:C,2,0),"")</f>
        <v/>
      </c>
    </row>
    <row r="494" spans="2:13" x14ac:dyDescent="0.3">
      <c r="B494" s="142">
        <v>46713</v>
      </c>
      <c r="C494" s="143" t="s">
        <v>17</v>
      </c>
      <c r="D494" s="144"/>
      <c r="E494" s="143" t="s">
        <v>11</v>
      </c>
      <c r="F494" s="144"/>
      <c r="G494" s="147"/>
      <c r="H494" s="148" t="str">
        <f>IF(WORKDAY(B494-1,1,공휴일!$B$4:$B$24)=B494,IF(WORKDAY(B494,1,공휴일!$B$4:$B$24)&lt;&gt;B494+1,"금요일","평일"),IF(WORKDAY(B494,1,공휴일!$B$4:$B$24)&lt;&gt;B494+1,"토요일","일요일"))</f>
        <v>평일</v>
      </c>
      <c r="I494" s="125" t="str">
        <f t="shared" si="33"/>
        <v>2027-11</v>
      </c>
      <c r="J494" s="93" t="str">
        <f t="shared" si="34"/>
        <v>신혜원</v>
      </c>
      <c r="K494" s="93" t="str">
        <f t="shared" si="35"/>
        <v>장민우</v>
      </c>
      <c r="L494" s="16" t="str">
        <f t="shared" si="36"/>
        <v>월</v>
      </c>
      <c r="M494" s="17" t="str">
        <f>IFERROR(VLOOKUP(B494,공휴일!B:C,2,0),"")</f>
        <v/>
      </c>
    </row>
    <row r="495" spans="2:13" x14ac:dyDescent="0.3">
      <c r="B495" s="142">
        <v>46714</v>
      </c>
      <c r="C495" s="143" t="s">
        <v>40</v>
      </c>
      <c r="D495" s="144"/>
      <c r="E495" s="143" t="s">
        <v>19</v>
      </c>
      <c r="F495" s="144"/>
      <c r="G495" s="147"/>
      <c r="H495" s="148" t="str">
        <f>IF(WORKDAY(B495-1,1,공휴일!$B$4:$B$24)=B495,IF(WORKDAY(B495,1,공휴일!$B$4:$B$24)&lt;&gt;B495+1,"금요일","평일"),IF(WORKDAY(B495,1,공휴일!$B$4:$B$24)&lt;&gt;B495+1,"토요일","일요일"))</f>
        <v>평일</v>
      </c>
      <c r="I495" s="125" t="str">
        <f t="shared" si="33"/>
        <v>2027-11</v>
      </c>
      <c r="J495" s="93" t="str">
        <f t="shared" si="34"/>
        <v>여철호</v>
      </c>
      <c r="K495" s="93" t="str">
        <f t="shared" si="35"/>
        <v>우정수</v>
      </c>
      <c r="L495" s="16" t="str">
        <f t="shared" si="36"/>
        <v>화</v>
      </c>
      <c r="M495" s="17" t="str">
        <f>IFERROR(VLOOKUP(B495,공휴일!B:C,2,0),"")</f>
        <v/>
      </c>
    </row>
    <row r="496" spans="2:13" x14ac:dyDescent="0.3">
      <c r="B496" s="142">
        <v>46715</v>
      </c>
      <c r="C496" s="143" t="s">
        <v>15</v>
      </c>
      <c r="D496" s="144"/>
      <c r="E496" s="143" t="s">
        <v>44</v>
      </c>
      <c r="F496" s="144"/>
      <c r="G496" s="147"/>
      <c r="H496" s="148" t="str">
        <f>IF(WORKDAY(B496-1,1,공휴일!$B$4:$B$24)=B496,IF(WORKDAY(B496,1,공휴일!$B$4:$B$24)&lt;&gt;B496+1,"금요일","평일"),IF(WORKDAY(B496,1,공휴일!$B$4:$B$24)&lt;&gt;B496+1,"토요일","일요일"))</f>
        <v>평일</v>
      </c>
      <c r="I496" s="125" t="str">
        <f t="shared" si="33"/>
        <v>2027-11</v>
      </c>
      <c r="J496" s="93" t="str">
        <f t="shared" si="34"/>
        <v>구민아</v>
      </c>
      <c r="K496" s="93" t="str">
        <f t="shared" si="35"/>
        <v>오기희</v>
      </c>
      <c r="L496" s="16" t="str">
        <f t="shared" si="36"/>
        <v>수</v>
      </c>
      <c r="M496" s="17" t="str">
        <f>IFERROR(VLOOKUP(B496,공휴일!B:C,2,0),"")</f>
        <v/>
      </c>
    </row>
    <row r="497" spans="2:13" x14ac:dyDescent="0.3">
      <c r="B497" s="142">
        <v>46716</v>
      </c>
      <c r="C497" s="143" t="s">
        <v>14</v>
      </c>
      <c r="D497" s="144"/>
      <c r="E497" s="143" t="s">
        <v>18</v>
      </c>
      <c r="F497" s="144"/>
      <c r="G497" s="147"/>
      <c r="H497" s="148" t="str">
        <f>IF(WORKDAY(B497-1,1,공휴일!$B$4:$B$24)=B497,IF(WORKDAY(B497,1,공휴일!$B$4:$B$24)&lt;&gt;B497+1,"금요일","평일"),IF(WORKDAY(B497,1,공휴일!$B$4:$B$24)&lt;&gt;B497+1,"토요일","일요일"))</f>
        <v>평일</v>
      </c>
      <c r="I497" s="125" t="str">
        <f t="shared" si="33"/>
        <v>2027-11</v>
      </c>
      <c r="J497" s="93" t="str">
        <f t="shared" si="34"/>
        <v>고석규</v>
      </c>
      <c r="K497" s="93" t="str">
        <f t="shared" si="35"/>
        <v>이승현</v>
      </c>
      <c r="L497" s="16" t="str">
        <f t="shared" si="36"/>
        <v>목</v>
      </c>
      <c r="M497" s="17" t="str">
        <f>IFERROR(VLOOKUP(B497,공휴일!B:C,2,0),"")</f>
        <v/>
      </c>
    </row>
    <row r="498" spans="2:13" x14ac:dyDescent="0.3">
      <c r="B498" s="142">
        <v>46717</v>
      </c>
      <c r="C498" s="143" t="s">
        <v>12</v>
      </c>
      <c r="D498" s="144"/>
      <c r="E498" s="143" t="s">
        <v>10</v>
      </c>
      <c r="F498" s="144"/>
      <c r="G498" s="147"/>
      <c r="H498" s="148" t="str">
        <f>IF(WORKDAY(B498-1,1,공휴일!$B$4:$B$24)=B498,IF(WORKDAY(B498,1,공휴일!$B$4:$B$24)&lt;&gt;B498+1,"금요일","평일"),IF(WORKDAY(B498,1,공휴일!$B$4:$B$24)&lt;&gt;B498+1,"토요일","일요일"))</f>
        <v>금요일</v>
      </c>
      <c r="I498" s="125" t="str">
        <f t="shared" si="33"/>
        <v>2027-11</v>
      </c>
      <c r="J498" s="93" t="str">
        <f t="shared" si="34"/>
        <v>한문영</v>
      </c>
      <c r="K498" s="93" t="str">
        <f t="shared" si="35"/>
        <v>유진수</v>
      </c>
      <c r="L498" s="16" t="str">
        <f t="shared" si="36"/>
        <v>금</v>
      </c>
      <c r="M498" s="17" t="str">
        <f>IFERROR(VLOOKUP(B498,공휴일!B:C,2,0),"")</f>
        <v/>
      </c>
    </row>
    <row r="499" spans="2:13" x14ac:dyDescent="0.3">
      <c r="B499" s="142">
        <v>46718</v>
      </c>
      <c r="C499" s="143" t="s">
        <v>16</v>
      </c>
      <c r="D499" s="144"/>
      <c r="E499" s="143" t="s">
        <v>20</v>
      </c>
      <c r="F499" s="144"/>
      <c r="G499" s="147"/>
      <c r="H499" s="148" t="str">
        <f>IF(WORKDAY(B499-1,1,공휴일!$B$4:$B$24)=B499,IF(WORKDAY(B499,1,공휴일!$B$4:$B$24)&lt;&gt;B499+1,"금요일","평일"),IF(WORKDAY(B499,1,공휴일!$B$4:$B$24)&lt;&gt;B499+1,"토요일","일요일"))</f>
        <v>토요일</v>
      </c>
      <c r="I499" s="125" t="str">
        <f t="shared" si="33"/>
        <v>2027-11</v>
      </c>
      <c r="J499" s="93" t="str">
        <f t="shared" si="34"/>
        <v>이현숙</v>
      </c>
      <c r="K499" s="93" t="str">
        <f t="shared" si="35"/>
        <v>이원철</v>
      </c>
      <c r="L499" s="16" t="str">
        <f t="shared" si="36"/>
        <v>토</v>
      </c>
      <c r="M499" s="17" t="str">
        <f>IFERROR(VLOOKUP(B499,공휴일!B:C,2,0),"")</f>
        <v/>
      </c>
    </row>
    <row r="500" spans="2:13" x14ac:dyDescent="0.3">
      <c r="B500" s="142">
        <v>46719</v>
      </c>
      <c r="C500" s="143" t="s">
        <v>13</v>
      </c>
      <c r="D500" s="144"/>
      <c r="E500" s="143" t="s">
        <v>21</v>
      </c>
      <c r="F500" s="144"/>
      <c r="G500" s="147"/>
      <c r="H500" s="148" t="str">
        <f>IF(WORKDAY(B500-1,1,공휴일!$B$4:$B$24)=B500,IF(WORKDAY(B500,1,공휴일!$B$4:$B$24)&lt;&gt;B500+1,"금요일","평일"),IF(WORKDAY(B500,1,공휴일!$B$4:$B$24)&lt;&gt;B500+1,"토요일","일요일"))</f>
        <v>일요일</v>
      </c>
      <c r="I500" s="125" t="str">
        <f t="shared" si="33"/>
        <v>2027-11</v>
      </c>
      <c r="J500" s="93" t="str">
        <f t="shared" si="34"/>
        <v>안지영</v>
      </c>
      <c r="K500" s="93" t="str">
        <f t="shared" si="35"/>
        <v>정찬웅</v>
      </c>
      <c r="L500" s="16" t="str">
        <f t="shared" si="36"/>
        <v>일</v>
      </c>
      <c r="M500" s="17" t="str">
        <f>IFERROR(VLOOKUP(B500,공휴일!B:C,2,0),"")</f>
        <v/>
      </c>
    </row>
    <row r="501" spans="2:13" x14ac:dyDescent="0.3">
      <c r="B501" s="142">
        <v>46720</v>
      </c>
      <c r="C501" s="143" t="s">
        <v>41</v>
      </c>
      <c r="D501" s="144"/>
      <c r="E501" s="143" t="s">
        <v>22</v>
      </c>
      <c r="F501" s="144"/>
      <c r="G501" s="147"/>
      <c r="H501" s="148" t="str">
        <f>IF(WORKDAY(B501-1,1,공휴일!$B$4:$B$24)=B501,IF(WORKDAY(B501,1,공휴일!$B$4:$B$24)&lt;&gt;B501+1,"금요일","평일"),IF(WORKDAY(B501,1,공휴일!$B$4:$B$24)&lt;&gt;B501+1,"토요일","일요일"))</f>
        <v>평일</v>
      </c>
      <c r="I501" s="125" t="str">
        <f t="shared" si="33"/>
        <v>2027-11</v>
      </c>
      <c r="J501" s="93" t="str">
        <f t="shared" si="34"/>
        <v>송남철</v>
      </c>
      <c r="K501" s="93" t="str">
        <f t="shared" si="35"/>
        <v>서진호</v>
      </c>
      <c r="L501" s="16" t="str">
        <f t="shared" si="36"/>
        <v>월</v>
      </c>
      <c r="M501" s="17" t="str">
        <f>IFERROR(VLOOKUP(B501,공휴일!B:C,2,0),"")</f>
        <v/>
      </c>
    </row>
    <row r="502" spans="2:13" x14ac:dyDescent="0.3">
      <c r="B502" s="142">
        <v>46721</v>
      </c>
      <c r="C502" s="143" t="s">
        <v>17</v>
      </c>
      <c r="D502" s="144"/>
      <c r="E502" s="143" t="s">
        <v>11</v>
      </c>
      <c r="F502" s="144"/>
      <c r="G502" s="147"/>
      <c r="H502" s="148" t="str">
        <f>IF(WORKDAY(B502-1,1,공휴일!$B$4:$B$24)=B502,IF(WORKDAY(B502,1,공휴일!$B$4:$B$24)&lt;&gt;B502+1,"금요일","평일"),IF(WORKDAY(B502,1,공휴일!$B$4:$B$24)&lt;&gt;B502+1,"토요일","일요일"))</f>
        <v>평일</v>
      </c>
      <c r="I502" s="125" t="str">
        <f t="shared" si="33"/>
        <v>2027-11</v>
      </c>
      <c r="J502" s="93" t="str">
        <f t="shared" si="34"/>
        <v>신혜원</v>
      </c>
      <c r="K502" s="93" t="str">
        <f t="shared" si="35"/>
        <v>장민우</v>
      </c>
      <c r="L502" s="16" t="str">
        <f t="shared" si="36"/>
        <v>화</v>
      </c>
      <c r="M502" s="17" t="str">
        <f>IFERROR(VLOOKUP(B502,공휴일!B:C,2,0),"")</f>
        <v/>
      </c>
    </row>
    <row r="503" spans="2:13" x14ac:dyDescent="0.3">
      <c r="B503" s="142">
        <v>46722</v>
      </c>
      <c r="C503" s="143" t="s">
        <v>40</v>
      </c>
      <c r="D503" s="144"/>
      <c r="E503" s="143" t="s">
        <v>19</v>
      </c>
      <c r="F503" s="144"/>
      <c r="G503" s="147"/>
      <c r="H503" s="148" t="str">
        <f>IF(WORKDAY(B503-1,1,공휴일!$B$4:$B$24)=B503,IF(WORKDAY(B503,1,공휴일!$B$4:$B$24)&lt;&gt;B503+1,"금요일","평일"),IF(WORKDAY(B503,1,공휴일!$B$4:$B$24)&lt;&gt;B503+1,"토요일","일요일"))</f>
        <v>평일</v>
      </c>
      <c r="I503" s="125" t="str">
        <f t="shared" si="33"/>
        <v>2027-12</v>
      </c>
      <c r="J503" s="93" t="str">
        <f t="shared" si="34"/>
        <v>여철호</v>
      </c>
      <c r="K503" s="93" t="str">
        <f t="shared" si="35"/>
        <v>우정수</v>
      </c>
      <c r="L503" s="16" t="str">
        <f t="shared" si="36"/>
        <v>수</v>
      </c>
      <c r="M503" s="17" t="str">
        <f>IFERROR(VLOOKUP(B503,공휴일!B:C,2,0),"")</f>
        <v/>
      </c>
    </row>
    <row r="504" spans="2:13" x14ac:dyDescent="0.3">
      <c r="B504" s="142">
        <v>46723</v>
      </c>
      <c r="C504" s="143" t="s">
        <v>15</v>
      </c>
      <c r="D504" s="144"/>
      <c r="E504" s="143" t="s">
        <v>44</v>
      </c>
      <c r="F504" s="144"/>
      <c r="G504" s="147"/>
      <c r="H504" s="148" t="str">
        <f>IF(WORKDAY(B504-1,1,공휴일!$B$4:$B$24)=B504,IF(WORKDAY(B504,1,공휴일!$B$4:$B$24)&lt;&gt;B504+1,"금요일","평일"),IF(WORKDAY(B504,1,공휴일!$B$4:$B$24)&lt;&gt;B504+1,"토요일","일요일"))</f>
        <v>평일</v>
      </c>
      <c r="I504" s="125" t="str">
        <f t="shared" si="33"/>
        <v>2027-12</v>
      </c>
      <c r="J504" s="93" t="str">
        <f t="shared" si="34"/>
        <v>구민아</v>
      </c>
      <c r="K504" s="93" t="str">
        <f t="shared" si="35"/>
        <v>오기희</v>
      </c>
      <c r="L504" s="16" t="str">
        <f t="shared" si="36"/>
        <v>목</v>
      </c>
      <c r="M504" s="17" t="str">
        <f>IFERROR(VLOOKUP(B504,공휴일!B:C,2,0),"")</f>
        <v/>
      </c>
    </row>
    <row r="505" spans="2:13" x14ac:dyDescent="0.3">
      <c r="B505" s="142">
        <v>46724</v>
      </c>
      <c r="C505" s="143" t="s">
        <v>14</v>
      </c>
      <c r="D505" s="144"/>
      <c r="E505" s="143" t="s">
        <v>18</v>
      </c>
      <c r="F505" s="144"/>
      <c r="G505" s="147"/>
      <c r="H505" s="148" t="str">
        <f>IF(WORKDAY(B505-1,1,공휴일!$B$4:$B$24)=B505,IF(WORKDAY(B505,1,공휴일!$B$4:$B$24)&lt;&gt;B505+1,"금요일","평일"),IF(WORKDAY(B505,1,공휴일!$B$4:$B$24)&lt;&gt;B505+1,"토요일","일요일"))</f>
        <v>금요일</v>
      </c>
      <c r="I505" s="125" t="str">
        <f t="shared" si="33"/>
        <v>2027-12</v>
      </c>
      <c r="J505" s="93" t="str">
        <f t="shared" si="34"/>
        <v>고석규</v>
      </c>
      <c r="K505" s="93" t="str">
        <f t="shared" si="35"/>
        <v>이승현</v>
      </c>
      <c r="L505" s="16" t="str">
        <f t="shared" si="36"/>
        <v>금</v>
      </c>
      <c r="M505" s="17" t="str">
        <f>IFERROR(VLOOKUP(B505,공휴일!B:C,2,0),"")</f>
        <v/>
      </c>
    </row>
    <row r="506" spans="2:13" x14ac:dyDescent="0.3">
      <c r="B506" s="142">
        <v>46725</v>
      </c>
      <c r="C506" s="143" t="s">
        <v>12</v>
      </c>
      <c r="D506" s="144"/>
      <c r="E506" s="143" t="s">
        <v>10</v>
      </c>
      <c r="F506" s="144"/>
      <c r="G506" s="147"/>
      <c r="H506" s="148" t="str">
        <f>IF(WORKDAY(B506-1,1,공휴일!$B$4:$B$24)=B506,IF(WORKDAY(B506,1,공휴일!$B$4:$B$24)&lt;&gt;B506+1,"금요일","평일"),IF(WORKDAY(B506,1,공휴일!$B$4:$B$24)&lt;&gt;B506+1,"토요일","일요일"))</f>
        <v>토요일</v>
      </c>
      <c r="I506" s="125" t="str">
        <f t="shared" si="33"/>
        <v>2027-12</v>
      </c>
      <c r="J506" s="93" t="str">
        <f t="shared" si="34"/>
        <v>한문영</v>
      </c>
      <c r="K506" s="93" t="str">
        <f t="shared" si="35"/>
        <v>유진수</v>
      </c>
      <c r="L506" s="16" t="str">
        <f t="shared" si="36"/>
        <v>토</v>
      </c>
      <c r="M506" s="17" t="str">
        <f>IFERROR(VLOOKUP(B506,공휴일!B:C,2,0),"")</f>
        <v/>
      </c>
    </row>
    <row r="507" spans="2:13" x14ac:dyDescent="0.3">
      <c r="B507" s="142">
        <v>46726</v>
      </c>
      <c r="C507" s="143" t="s">
        <v>16</v>
      </c>
      <c r="D507" s="144"/>
      <c r="E507" s="143" t="s">
        <v>20</v>
      </c>
      <c r="F507" s="144"/>
      <c r="G507" s="147"/>
      <c r="H507" s="148" t="str">
        <f>IF(WORKDAY(B507-1,1,공휴일!$B$4:$B$24)=B507,IF(WORKDAY(B507,1,공휴일!$B$4:$B$24)&lt;&gt;B507+1,"금요일","평일"),IF(WORKDAY(B507,1,공휴일!$B$4:$B$24)&lt;&gt;B507+1,"토요일","일요일"))</f>
        <v>일요일</v>
      </c>
      <c r="I507" s="125" t="str">
        <f t="shared" si="33"/>
        <v>2027-12</v>
      </c>
      <c r="J507" s="93" t="str">
        <f t="shared" si="34"/>
        <v>이현숙</v>
      </c>
      <c r="K507" s="93" t="str">
        <f t="shared" si="35"/>
        <v>이원철</v>
      </c>
      <c r="L507" s="16" t="str">
        <f t="shared" si="36"/>
        <v>일</v>
      </c>
      <c r="M507" s="17" t="str">
        <f>IFERROR(VLOOKUP(B507,공휴일!B:C,2,0),"")</f>
        <v/>
      </c>
    </row>
    <row r="508" spans="2:13" x14ac:dyDescent="0.3">
      <c r="B508" s="142">
        <v>46727</v>
      </c>
      <c r="C508" s="143" t="s">
        <v>13</v>
      </c>
      <c r="D508" s="144"/>
      <c r="E508" s="143" t="s">
        <v>21</v>
      </c>
      <c r="F508" s="144"/>
      <c r="G508" s="147"/>
      <c r="H508" s="148" t="str">
        <f>IF(WORKDAY(B508-1,1,공휴일!$B$4:$B$24)=B508,IF(WORKDAY(B508,1,공휴일!$B$4:$B$24)&lt;&gt;B508+1,"금요일","평일"),IF(WORKDAY(B508,1,공휴일!$B$4:$B$24)&lt;&gt;B508+1,"토요일","일요일"))</f>
        <v>평일</v>
      </c>
      <c r="I508" s="125" t="str">
        <f t="shared" si="33"/>
        <v>2027-12</v>
      </c>
      <c r="J508" s="93" t="str">
        <f t="shared" si="34"/>
        <v>안지영</v>
      </c>
      <c r="K508" s="93" t="str">
        <f t="shared" si="35"/>
        <v>정찬웅</v>
      </c>
      <c r="L508" s="16" t="str">
        <f t="shared" si="36"/>
        <v>월</v>
      </c>
      <c r="M508" s="17" t="str">
        <f>IFERROR(VLOOKUP(B508,공휴일!B:C,2,0),"")</f>
        <v/>
      </c>
    </row>
    <row r="509" spans="2:13" x14ac:dyDescent="0.3">
      <c r="B509" s="142">
        <v>46728</v>
      </c>
      <c r="C509" s="143" t="s">
        <v>41</v>
      </c>
      <c r="D509" s="144"/>
      <c r="E509" s="143" t="s">
        <v>22</v>
      </c>
      <c r="F509" s="144"/>
      <c r="G509" s="147"/>
      <c r="H509" s="148" t="str">
        <f>IF(WORKDAY(B509-1,1,공휴일!$B$4:$B$24)=B509,IF(WORKDAY(B509,1,공휴일!$B$4:$B$24)&lt;&gt;B509+1,"금요일","평일"),IF(WORKDAY(B509,1,공휴일!$B$4:$B$24)&lt;&gt;B509+1,"토요일","일요일"))</f>
        <v>평일</v>
      </c>
      <c r="I509" s="125" t="str">
        <f t="shared" si="33"/>
        <v>2027-12</v>
      </c>
      <c r="J509" s="93" t="str">
        <f t="shared" si="34"/>
        <v>송남철</v>
      </c>
      <c r="K509" s="93" t="str">
        <f t="shared" si="35"/>
        <v>서진호</v>
      </c>
      <c r="L509" s="16" t="str">
        <f t="shared" si="36"/>
        <v>화</v>
      </c>
      <c r="M509" s="17" t="str">
        <f>IFERROR(VLOOKUP(B509,공휴일!B:C,2,0),"")</f>
        <v/>
      </c>
    </row>
    <row r="510" spans="2:13" x14ac:dyDescent="0.3">
      <c r="B510" s="142">
        <v>46729</v>
      </c>
      <c r="C510" s="143" t="s">
        <v>17</v>
      </c>
      <c r="D510" s="144"/>
      <c r="E510" s="143" t="s">
        <v>11</v>
      </c>
      <c r="F510" s="144"/>
      <c r="G510" s="147"/>
      <c r="H510" s="148" t="str">
        <f>IF(WORKDAY(B510-1,1,공휴일!$B$4:$B$24)=B510,IF(WORKDAY(B510,1,공휴일!$B$4:$B$24)&lt;&gt;B510+1,"금요일","평일"),IF(WORKDAY(B510,1,공휴일!$B$4:$B$24)&lt;&gt;B510+1,"토요일","일요일"))</f>
        <v>평일</v>
      </c>
      <c r="I510" s="125" t="str">
        <f t="shared" si="33"/>
        <v>2027-12</v>
      </c>
      <c r="J510" s="93" t="str">
        <f t="shared" si="34"/>
        <v>신혜원</v>
      </c>
      <c r="K510" s="93" t="str">
        <f t="shared" si="35"/>
        <v>장민우</v>
      </c>
      <c r="L510" s="16" t="str">
        <f t="shared" si="36"/>
        <v>수</v>
      </c>
      <c r="M510" s="17" t="str">
        <f>IFERROR(VLOOKUP(B510,공휴일!B:C,2,0),"")</f>
        <v/>
      </c>
    </row>
    <row r="511" spans="2:13" x14ac:dyDescent="0.3">
      <c r="B511" s="142">
        <v>46730</v>
      </c>
      <c r="C511" s="143" t="s">
        <v>40</v>
      </c>
      <c r="D511" s="144"/>
      <c r="E511" s="143" t="s">
        <v>19</v>
      </c>
      <c r="F511" s="144"/>
      <c r="G511" s="147"/>
      <c r="H511" s="148" t="str">
        <f>IF(WORKDAY(B511-1,1,공휴일!$B$4:$B$24)=B511,IF(WORKDAY(B511,1,공휴일!$B$4:$B$24)&lt;&gt;B511+1,"금요일","평일"),IF(WORKDAY(B511,1,공휴일!$B$4:$B$24)&lt;&gt;B511+1,"토요일","일요일"))</f>
        <v>평일</v>
      </c>
      <c r="I511" s="125" t="str">
        <f t="shared" si="33"/>
        <v>2027-12</v>
      </c>
      <c r="J511" s="93" t="str">
        <f t="shared" si="34"/>
        <v>여철호</v>
      </c>
      <c r="K511" s="93" t="str">
        <f t="shared" si="35"/>
        <v>우정수</v>
      </c>
      <c r="L511" s="16" t="str">
        <f t="shared" si="36"/>
        <v>목</v>
      </c>
      <c r="M511" s="17" t="str">
        <f>IFERROR(VLOOKUP(B511,공휴일!B:C,2,0),"")</f>
        <v/>
      </c>
    </row>
    <row r="512" spans="2:13" x14ac:dyDescent="0.3">
      <c r="B512" s="142">
        <v>46731</v>
      </c>
      <c r="C512" s="143" t="s">
        <v>15</v>
      </c>
      <c r="D512" s="144"/>
      <c r="E512" s="143" t="s">
        <v>44</v>
      </c>
      <c r="F512" s="144"/>
      <c r="G512" s="147"/>
      <c r="H512" s="148" t="str">
        <f>IF(WORKDAY(B512-1,1,공휴일!$B$4:$B$24)=B512,IF(WORKDAY(B512,1,공휴일!$B$4:$B$24)&lt;&gt;B512+1,"금요일","평일"),IF(WORKDAY(B512,1,공휴일!$B$4:$B$24)&lt;&gt;B512+1,"토요일","일요일"))</f>
        <v>금요일</v>
      </c>
      <c r="I512" s="125" t="str">
        <f t="shared" si="33"/>
        <v>2027-12</v>
      </c>
      <c r="J512" s="93" t="str">
        <f t="shared" si="34"/>
        <v>구민아</v>
      </c>
      <c r="K512" s="93" t="str">
        <f t="shared" si="35"/>
        <v>오기희</v>
      </c>
      <c r="L512" s="16" t="str">
        <f t="shared" si="36"/>
        <v>금</v>
      </c>
      <c r="M512" s="17" t="str">
        <f>IFERROR(VLOOKUP(B512,공휴일!B:C,2,0),"")</f>
        <v/>
      </c>
    </row>
    <row r="513" spans="2:13" x14ac:dyDescent="0.3">
      <c r="B513" s="142">
        <v>46732</v>
      </c>
      <c r="C513" s="143" t="s">
        <v>14</v>
      </c>
      <c r="D513" s="144"/>
      <c r="E513" s="143" t="s">
        <v>18</v>
      </c>
      <c r="F513" s="144"/>
      <c r="G513" s="147"/>
      <c r="H513" s="148" t="str">
        <f>IF(WORKDAY(B513-1,1,공휴일!$B$4:$B$24)=B513,IF(WORKDAY(B513,1,공휴일!$B$4:$B$24)&lt;&gt;B513+1,"금요일","평일"),IF(WORKDAY(B513,1,공휴일!$B$4:$B$24)&lt;&gt;B513+1,"토요일","일요일"))</f>
        <v>토요일</v>
      </c>
      <c r="I513" s="125" t="str">
        <f t="shared" si="33"/>
        <v>2027-12</v>
      </c>
      <c r="J513" s="93" t="str">
        <f t="shared" si="34"/>
        <v>고석규</v>
      </c>
      <c r="K513" s="93" t="str">
        <f t="shared" si="35"/>
        <v>이승현</v>
      </c>
      <c r="L513" s="16" t="str">
        <f t="shared" si="36"/>
        <v>토</v>
      </c>
      <c r="M513" s="17" t="str">
        <f>IFERROR(VLOOKUP(B513,공휴일!B:C,2,0),"")</f>
        <v/>
      </c>
    </row>
    <row r="514" spans="2:13" x14ac:dyDescent="0.3">
      <c r="B514" s="142">
        <v>46733</v>
      </c>
      <c r="C514" s="143" t="s">
        <v>12</v>
      </c>
      <c r="D514" s="144"/>
      <c r="E514" s="143" t="s">
        <v>10</v>
      </c>
      <c r="F514" s="144"/>
      <c r="G514" s="147"/>
      <c r="H514" s="148" t="str">
        <f>IF(WORKDAY(B514-1,1,공휴일!$B$4:$B$24)=B514,IF(WORKDAY(B514,1,공휴일!$B$4:$B$24)&lt;&gt;B514+1,"금요일","평일"),IF(WORKDAY(B514,1,공휴일!$B$4:$B$24)&lt;&gt;B514+1,"토요일","일요일"))</f>
        <v>일요일</v>
      </c>
      <c r="I514" s="125" t="str">
        <f t="shared" si="33"/>
        <v>2027-12</v>
      </c>
      <c r="J514" s="93" t="str">
        <f t="shared" si="34"/>
        <v>한문영</v>
      </c>
      <c r="K514" s="93" t="str">
        <f t="shared" si="35"/>
        <v>유진수</v>
      </c>
      <c r="L514" s="16" t="str">
        <f t="shared" si="36"/>
        <v>일</v>
      </c>
      <c r="M514" s="17" t="str">
        <f>IFERROR(VLOOKUP(B514,공휴일!B:C,2,0),"")</f>
        <v/>
      </c>
    </row>
    <row r="515" spans="2:13" x14ac:dyDescent="0.3">
      <c r="B515" s="142">
        <v>46734</v>
      </c>
      <c r="C515" s="143" t="s">
        <v>16</v>
      </c>
      <c r="D515" s="144"/>
      <c r="E515" s="143" t="s">
        <v>20</v>
      </c>
      <c r="F515" s="144"/>
      <c r="G515" s="147"/>
      <c r="H515" s="148" t="str">
        <f>IF(WORKDAY(B515-1,1,공휴일!$B$4:$B$24)=B515,IF(WORKDAY(B515,1,공휴일!$B$4:$B$24)&lt;&gt;B515+1,"금요일","평일"),IF(WORKDAY(B515,1,공휴일!$B$4:$B$24)&lt;&gt;B515+1,"토요일","일요일"))</f>
        <v>평일</v>
      </c>
      <c r="I515" s="125" t="str">
        <f t="shared" si="33"/>
        <v>2027-12</v>
      </c>
      <c r="J515" s="93" t="str">
        <f t="shared" si="34"/>
        <v>이현숙</v>
      </c>
      <c r="K515" s="93" t="str">
        <f t="shared" si="35"/>
        <v>이원철</v>
      </c>
      <c r="L515" s="16" t="str">
        <f t="shared" si="36"/>
        <v>월</v>
      </c>
      <c r="M515" s="17" t="str">
        <f>IFERROR(VLOOKUP(B515,공휴일!B:C,2,0),"")</f>
        <v/>
      </c>
    </row>
    <row r="516" spans="2:13" x14ac:dyDescent="0.3">
      <c r="B516" s="142">
        <v>46735</v>
      </c>
      <c r="C516" s="143" t="s">
        <v>13</v>
      </c>
      <c r="D516" s="144"/>
      <c r="E516" s="143" t="s">
        <v>21</v>
      </c>
      <c r="F516" s="144"/>
      <c r="G516" s="147"/>
      <c r="H516" s="148" t="str">
        <f>IF(WORKDAY(B516-1,1,공휴일!$B$4:$B$24)=B516,IF(WORKDAY(B516,1,공휴일!$B$4:$B$24)&lt;&gt;B516+1,"금요일","평일"),IF(WORKDAY(B516,1,공휴일!$B$4:$B$24)&lt;&gt;B516+1,"토요일","일요일"))</f>
        <v>평일</v>
      </c>
      <c r="I516" s="125" t="str">
        <f t="shared" si="33"/>
        <v>2027-12</v>
      </c>
      <c r="J516" s="93" t="str">
        <f t="shared" si="34"/>
        <v>안지영</v>
      </c>
      <c r="K516" s="93" t="str">
        <f t="shared" si="35"/>
        <v>정찬웅</v>
      </c>
      <c r="L516" s="16" t="str">
        <f t="shared" si="36"/>
        <v>화</v>
      </c>
      <c r="M516" s="17" t="str">
        <f>IFERROR(VLOOKUP(B516,공휴일!B:C,2,0),"")</f>
        <v/>
      </c>
    </row>
    <row r="517" spans="2:13" x14ac:dyDescent="0.3">
      <c r="B517" s="142">
        <v>46736</v>
      </c>
      <c r="C517" s="143" t="s">
        <v>41</v>
      </c>
      <c r="D517" s="144"/>
      <c r="E517" s="143" t="s">
        <v>22</v>
      </c>
      <c r="F517" s="144"/>
      <c r="G517" s="147"/>
      <c r="H517" s="148" t="str">
        <f>IF(WORKDAY(B517-1,1,공휴일!$B$4:$B$24)=B517,IF(WORKDAY(B517,1,공휴일!$B$4:$B$24)&lt;&gt;B517+1,"금요일","평일"),IF(WORKDAY(B517,1,공휴일!$B$4:$B$24)&lt;&gt;B517+1,"토요일","일요일"))</f>
        <v>평일</v>
      </c>
      <c r="I517" s="125" t="str">
        <f t="shared" si="33"/>
        <v>2027-12</v>
      </c>
      <c r="J517" s="93" t="str">
        <f t="shared" si="34"/>
        <v>송남철</v>
      </c>
      <c r="K517" s="93" t="str">
        <f t="shared" si="35"/>
        <v>서진호</v>
      </c>
      <c r="L517" s="16" t="str">
        <f t="shared" si="36"/>
        <v>수</v>
      </c>
      <c r="M517" s="17" t="str">
        <f>IFERROR(VLOOKUP(B517,공휴일!B:C,2,0),"")</f>
        <v/>
      </c>
    </row>
    <row r="518" spans="2:13" x14ac:dyDescent="0.3">
      <c r="B518" s="142">
        <v>46737</v>
      </c>
      <c r="C518" s="143" t="s">
        <v>17</v>
      </c>
      <c r="D518" s="144"/>
      <c r="E518" s="143" t="s">
        <v>11</v>
      </c>
      <c r="F518" s="144"/>
      <c r="G518" s="147"/>
      <c r="H518" s="148" t="str">
        <f>IF(WORKDAY(B518-1,1,공휴일!$B$4:$B$24)=B518,IF(WORKDAY(B518,1,공휴일!$B$4:$B$24)&lt;&gt;B518+1,"금요일","평일"),IF(WORKDAY(B518,1,공휴일!$B$4:$B$24)&lt;&gt;B518+1,"토요일","일요일"))</f>
        <v>평일</v>
      </c>
      <c r="I518" s="125" t="str">
        <f t="shared" ref="I518:I581" si="37">TEXT(B518,"yyyy-mm")</f>
        <v>2027-12</v>
      </c>
      <c r="J518" s="93" t="str">
        <f t="shared" si="34"/>
        <v>신혜원</v>
      </c>
      <c r="K518" s="93" t="str">
        <f t="shared" si="35"/>
        <v>장민우</v>
      </c>
      <c r="L518" s="16" t="str">
        <f t="shared" si="36"/>
        <v>목</v>
      </c>
      <c r="M518" s="17" t="str">
        <f>IFERROR(VLOOKUP(B518,공휴일!B:C,2,0),"")</f>
        <v/>
      </c>
    </row>
    <row r="519" spans="2:13" x14ac:dyDescent="0.3">
      <c r="B519" s="142">
        <v>46738</v>
      </c>
      <c r="C519" s="143" t="s">
        <v>40</v>
      </c>
      <c r="D519" s="144"/>
      <c r="E519" s="143" t="s">
        <v>19</v>
      </c>
      <c r="F519" s="144"/>
      <c r="G519" s="147"/>
      <c r="H519" s="148" t="str">
        <f>IF(WORKDAY(B519-1,1,공휴일!$B$4:$B$24)=B519,IF(WORKDAY(B519,1,공휴일!$B$4:$B$24)&lt;&gt;B519+1,"금요일","평일"),IF(WORKDAY(B519,1,공휴일!$B$4:$B$24)&lt;&gt;B519+1,"토요일","일요일"))</f>
        <v>금요일</v>
      </c>
      <c r="I519" s="125" t="str">
        <f t="shared" si="37"/>
        <v>2027-12</v>
      </c>
      <c r="J519" s="93" t="str">
        <f t="shared" si="34"/>
        <v>여철호</v>
      </c>
      <c r="K519" s="93" t="str">
        <f t="shared" si="35"/>
        <v>우정수</v>
      </c>
      <c r="L519" s="16" t="str">
        <f t="shared" si="36"/>
        <v>금</v>
      </c>
      <c r="M519" s="17" t="str">
        <f>IFERROR(VLOOKUP(B519,공휴일!B:C,2,0),"")</f>
        <v/>
      </c>
    </row>
    <row r="520" spans="2:13" x14ac:dyDescent="0.3">
      <c r="B520" s="142">
        <v>46739</v>
      </c>
      <c r="C520" s="143" t="s">
        <v>15</v>
      </c>
      <c r="D520" s="144"/>
      <c r="E520" s="143" t="s">
        <v>44</v>
      </c>
      <c r="F520" s="144"/>
      <c r="G520" s="147"/>
      <c r="H520" s="148" t="str">
        <f>IF(WORKDAY(B520-1,1,공휴일!$B$4:$B$24)=B520,IF(WORKDAY(B520,1,공휴일!$B$4:$B$24)&lt;&gt;B520+1,"금요일","평일"),IF(WORKDAY(B520,1,공휴일!$B$4:$B$24)&lt;&gt;B520+1,"토요일","일요일"))</f>
        <v>토요일</v>
      </c>
      <c r="I520" s="125" t="str">
        <f t="shared" si="37"/>
        <v>2027-12</v>
      </c>
      <c r="J520" s="93" t="str">
        <f t="shared" si="34"/>
        <v>구민아</v>
      </c>
      <c r="K520" s="93" t="str">
        <f t="shared" si="35"/>
        <v>오기희</v>
      </c>
      <c r="L520" s="16" t="str">
        <f t="shared" si="36"/>
        <v>토</v>
      </c>
      <c r="M520" s="17" t="str">
        <f>IFERROR(VLOOKUP(B520,공휴일!B:C,2,0),"")</f>
        <v/>
      </c>
    </row>
    <row r="521" spans="2:13" x14ac:dyDescent="0.3">
      <c r="B521" s="142">
        <v>46740</v>
      </c>
      <c r="C521" s="143" t="s">
        <v>14</v>
      </c>
      <c r="D521" s="144"/>
      <c r="E521" s="143" t="s">
        <v>18</v>
      </c>
      <c r="F521" s="144"/>
      <c r="G521" s="147"/>
      <c r="H521" s="148" t="str">
        <f>IF(WORKDAY(B521-1,1,공휴일!$B$4:$B$24)=B521,IF(WORKDAY(B521,1,공휴일!$B$4:$B$24)&lt;&gt;B521+1,"금요일","평일"),IF(WORKDAY(B521,1,공휴일!$B$4:$B$24)&lt;&gt;B521+1,"토요일","일요일"))</f>
        <v>일요일</v>
      </c>
      <c r="I521" s="125" t="str">
        <f t="shared" si="37"/>
        <v>2027-12</v>
      </c>
      <c r="J521" s="93" t="str">
        <f t="shared" si="34"/>
        <v>고석규</v>
      </c>
      <c r="K521" s="93" t="str">
        <f t="shared" si="35"/>
        <v>이승현</v>
      </c>
      <c r="L521" s="16" t="str">
        <f t="shared" si="36"/>
        <v>일</v>
      </c>
      <c r="M521" s="17" t="str">
        <f>IFERROR(VLOOKUP(B521,공휴일!B:C,2,0),"")</f>
        <v/>
      </c>
    </row>
    <row r="522" spans="2:13" x14ac:dyDescent="0.3">
      <c r="B522" s="142">
        <v>46741</v>
      </c>
      <c r="C522" s="143" t="s">
        <v>12</v>
      </c>
      <c r="D522" s="144"/>
      <c r="E522" s="143" t="s">
        <v>10</v>
      </c>
      <c r="F522" s="144"/>
      <c r="G522" s="147"/>
      <c r="H522" s="148" t="str">
        <f>IF(WORKDAY(B522-1,1,공휴일!$B$4:$B$24)=B522,IF(WORKDAY(B522,1,공휴일!$B$4:$B$24)&lt;&gt;B522+1,"금요일","평일"),IF(WORKDAY(B522,1,공휴일!$B$4:$B$24)&lt;&gt;B522+1,"토요일","일요일"))</f>
        <v>평일</v>
      </c>
      <c r="I522" s="125" t="str">
        <f t="shared" si="37"/>
        <v>2027-12</v>
      </c>
      <c r="J522" s="93" t="str">
        <f t="shared" si="34"/>
        <v>한문영</v>
      </c>
      <c r="K522" s="93" t="str">
        <f t="shared" si="35"/>
        <v>유진수</v>
      </c>
      <c r="L522" s="16" t="str">
        <f t="shared" si="36"/>
        <v>월</v>
      </c>
      <c r="M522" s="17" t="str">
        <f>IFERROR(VLOOKUP(B522,공휴일!B:C,2,0),"")</f>
        <v/>
      </c>
    </row>
    <row r="523" spans="2:13" x14ac:dyDescent="0.3">
      <c r="B523" s="142">
        <v>46742</v>
      </c>
      <c r="C523" s="143" t="s">
        <v>16</v>
      </c>
      <c r="D523" s="144"/>
      <c r="E523" s="143" t="s">
        <v>20</v>
      </c>
      <c r="F523" s="144"/>
      <c r="G523" s="147"/>
      <c r="H523" s="148" t="str">
        <f>IF(WORKDAY(B523-1,1,공휴일!$B$4:$B$24)=B523,IF(WORKDAY(B523,1,공휴일!$B$4:$B$24)&lt;&gt;B523+1,"금요일","평일"),IF(WORKDAY(B523,1,공휴일!$B$4:$B$24)&lt;&gt;B523+1,"토요일","일요일"))</f>
        <v>평일</v>
      </c>
      <c r="I523" s="125" t="str">
        <f t="shared" si="37"/>
        <v>2027-12</v>
      </c>
      <c r="J523" s="93" t="str">
        <f t="shared" si="34"/>
        <v>이현숙</v>
      </c>
      <c r="K523" s="93" t="str">
        <f t="shared" si="35"/>
        <v>이원철</v>
      </c>
      <c r="L523" s="16" t="str">
        <f t="shared" si="36"/>
        <v>화</v>
      </c>
      <c r="M523" s="17" t="str">
        <f>IFERROR(VLOOKUP(B523,공휴일!B:C,2,0),"")</f>
        <v/>
      </c>
    </row>
    <row r="524" spans="2:13" x14ac:dyDescent="0.3">
      <c r="B524" s="142">
        <v>46743</v>
      </c>
      <c r="C524" s="143" t="s">
        <v>13</v>
      </c>
      <c r="D524" s="144"/>
      <c r="E524" s="143" t="s">
        <v>21</v>
      </c>
      <c r="F524" s="144"/>
      <c r="G524" s="147"/>
      <c r="H524" s="148" t="str">
        <f>IF(WORKDAY(B524-1,1,공휴일!$B$4:$B$24)=B524,IF(WORKDAY(B524,1,공휴일!$B$4:$B$24)&lt;&gt;B524+1,"금요일","평일"),IF(WORKDAY(B524,1,공휴일!$B$4:$B$24)&lt;&gt;B524+1,"토요일","일요일"))</f>
        <v>평일</v>
      </c>
      <c r="I524" s="125" t="str">
        <f t="shared" si="37"/>
        <v>2027-12</v>
      </c>
      <c r="J524" s="93" t="str">
        <f t="shared" si="34"/>
        <v>안지영</v>
      </c>
      <c r="K524" s="93" t="str">
        <f t="shared" si="35"/>
        <v>정찬웅</v>
      </c>
      <c r="L524" s="16" t="str">
        <f t="shared" si="36"/>
        <v>수</v>
      </c>
      <c r="M524" s="17" t="str">
        <f>IFERROR(VLOOKUP(B524,공휴일!B:C,2,0),"")</f>
        <v/>
      </c>
    </row>
    <row r="525" spans="2:13" x14ac:dyDescent="0.3">
      <c r="B525" s="142">
        <v>46744</v>
      </c>
      <c r="C525" s="143" t="s">
        <v>41</v>
      </c>
      <c r="D525" s="144"/>
      <c r="E525" s="143" t="s">
        <v>22</v>
      </c>
      <c r="F525" s="144"/>
      <c r="G525" s="147"/>
      <c r="H525" s="148" t="str">
        <f>IF(WORKDAY(B525-1,1,공휴일!$B$4:$B$24)=B525,IF(WORKDAY(B525,1,공휴일!$B$4:$B$24)&lt;&gt;B525+1,"금요일","평일"),IF(WORKDAY(B525,1,공휴일!$B$4:$B$24)&lt;&gt;B525+1,"토요일","일요일"))</f>
        <v>평일</v>
      </c>
      <c r="I525" s="125" t="str">
        <f t="shared" si="37"/>
        <v>2027-12</v>
      </c>
      <c r="J525" s="93" t="str">
        <f t="shared" si="34"/>
        <v>송남철</v>
      </c>
      <c r="K525" s="93" t="str">
        <f t="shared" si="35"/>
        <v>서진호</v>
      </c>
      <c r="L525" s="16" t="str">
        <f t="shared" si="36"/>
        <v>목</v>
      </c>
      <c r="M525" s="17" t="str">
        <f>IFERROR(VLOOKUP(B525,공휴일!B:C,2,0),"")</f>
        <v/>
      </c>
    </row>
    <row r="526" spans="2:13" x14ac:dyDescent="0.3">
      <c r="B526" s="142">
        <v>46745</v>
      </c>
      <c r="C526" s="143" t="s">
        <v>17</v>
      </c>
      <c r="D526" s="144"/>
      <c r="E526" s="143" t="s">
        <v>11</v>
      </c>
      <c r="F526" s="144"/>
      <c r="G526" s="147"/>
      <c r="H526" s="148" t="str">
        <f>IF(WORKDAY(B526-1,1,공휴일!$B$4:$B$24)=B526,IF(WORKDAY(B526,1,공휴일!$B$4:$B$24)&lt;&gt;B526+1,"금요일","평일"),IF(WORKDAY(B526,1,공휴일!$B$4:$B$24)&lt;&gt;B526+1,"토요일","일요일"))</f>
        <v>금요일</v>
      </c>
      <c r="I526" s="125" t="str">
        <f t="shared" si="37"/>
        <v>2027-12</v>
      </c>
      <c r="J526" s="93" t="str">
        <f t="shared" si="34"/>
        <v>신혜원</v>
      </c>
      <c r="K526" s="93" t="str">
        <f t="shared" si="35"/>
        <v>장민우</v>
      </c>
      <c r="L526" s="16" t="str">
        <f t="shared" si="36"/>
        <v>금</v>
      </c>
      <c r="M526" s="17" t="str">
        <f>IFERROR(VLOOKUP(B526,공휴일!B:C,2,0),"")</f>
        <v/>
      </c>
    </row>
    <row r="527" spans="2:13" x14ac:dyDescent="0.3">
      <c r="B527" s="142">
        <v>46746</v>
      </c>
      <c r="C527" s="143" t="s">
        <v>40</v>
      </c>
      <c r="D527" s="144"/>
      <c r="E527" s="143" t="s">
        <v>19</v>
      </c>
      <c r="F527" s="144"/>
      <c r="G527" s="147"/>
      <c r="H527" s="148" t="str">
        <f>IF(WORKDAY(B527-1,1,공휴일!$B$4:$B$24)=B527,IF(WORKDAY(B527,1,공휴일!$B$4:$B$24)&lt;&gt;B527+1,"금요일","평일"),IF(WORKDAY(B527,1,공휴일!$B$4:$B$24)&lt;&gt;B527+1,"토요일","일요일"))</f>
        <v>토요일</v>
      </c>
      <c r="I527" s="125" t="str">
        <f t="shared" si="37"/>
        <v>2027-12</v>
      </c>
      <c r="J527" s="93" t="str">
        <f t="shared" si="34"/>
        <v>여철호</v>
      </c>
      <c r="K527" s="93" t="str">
        <f t="shared" si="35"/>
        <v>우정수</v>
      </c>
      <c r="L527" s="16" t="str">
        <f t="shared" si="36"/>
        <v>토</v>
      </c>
      <c r="M527" s="17" t="str">
        <f>IFERROR(VLOOKUP(B527,공휴일!B:C,2,0),"")</f>
        <v>성탄절</v>
      </c>
    </row>
    <row r="528" spans="2:13" x14ac:dyDescent="0.3">
      <c r="B528" s="142">
        <v>46747</v>
      </c>
      <c r="C528" s="143" t="s">
        <v>15</v>
      </c>
      <c r="D528" s="144"/>
      <c r="E528" s="143" t="s">
        <v>44</v>
      </c>
      <c r="F528" s="144"/>
      <c r="G528" s="147"/>
      <c r="H528" s="148" t="str">
        <f>IF(WORKDAY(B528-1,1,공휴일!$B$4:$B$24)=B528,IF(WORKDAY(B528,1,공휴일!$B$4:$B$24)&lt;&gt;B528+1,"금요일","평일"),IF(WORKDAY(B528,1,공휴일!$B$4:$B$24)&lt;&gt;B528+1,"토요일","일요일"))</f>
        <v>일요일</v>
      </c>
      <c r="I528" s="125" t="str">
        <f t="shared" si="37"/>
        <v>2027-12</v>
      </c>
      <c r="J528" s="93" t="str">
        <f t="shared" si="34"/>
        <v>구민아</v>
      </c>
      <c r="K528" s="93" t="str">
        <f t="shared" si="35"/>
        <v>오기희</v>
      </c>
      <c r="L528" s="16" t="str">
        <f t="shared" si="36"/>
        <v>일</v>
      </c>
      <c r="M528" s="17" t="str">
        <f>IFERROR(VLOOKUP(B528,공휴일!B:C,2,0),"")</f>
        <v/>
      </c>
    </row>
    <row r="529" spans="2:13" x14ac:dyDescent="0.3">
      <c r="B529" s="142">
        <v>46748</v>
      </c>
      <c r="C529" s="143" t="s">
        <v>14</v>
      </c>
      <c r="D529" s="144"/>
      <c r="E529" s="143" t="s">
        <v>18</v>
      </c>
      <c r="F529" s="144"/>
      <c r="G529" s="147"/>
      <c r="H529" s="148" t="str">
        <f>IF(WORKDAY(B529-1,1,공휴일!$B$4:$B$24)=B529,IF(WORKDAY(B529,1,공휴일!$B$4:$B$24)&lt;&gt;B529+1,"금요일","평일"),IF(WORKDAY(B529,1,공휴일!$B$4:$B$24)&lt;&gt;B529+1,"토요일","일요일"))</f>
        <v>평일</v>
      </c>
      <c r="I529" s="125" t="str">
        <f t="shared" si="37"/>
        <v>2027-12</v>
      </c>
      <c r="J529" s="93" t="str">
        <f t="shared" si="34"/>
        <v>고석규</v>
      </c>
      <c r="K529" s="93" t="str">
        <f t="shared" si="35"/>
        <v>이승현</v>
      </c>
      <c r="L529" s="16" t="str">
        <f t="shared" si="36"/>
        <v>월</v>
      </c>
      <c r="M529" s="17" t="str">
        <f>IFERROR(VLOOKUP(B529,공휴일!B:C,2,0),"")</f>
        <v/>
      </c>
    </row>
    <row r="530" spans="2:13" x14ac:dyDescent="0.3">
      <c r="B530" s="142">
        <v>46749</v>
      </c>
      <c r="C530" s="143" t="s">
        <v>12</v>
      </c>
      <c r="D530" s="144"/>
      <c r="E530" s="143" t="s">
        <v>10</v>
      </c>
      <c r="F530" s="144"/>
      <c r="G530" s="147"/>
      <c r="H530" s="148" t="str">
        <f>IF(WORKDAY(B530-1,1,공휴일!$B$4:$B$24)=B530,IF(WORKDAY(B530,1,공휴일!$B$4:$B$24)&lt;&gt;B530+1,"금요일","평일"),IF(WORKDAY(B530,1,공휴일!$B$4:$B$24)&lt;&gt;B530+1,"토요일","일요일"))</f>
        <v>평일</v>
      </c>
      <c r="I530" s="125" t="str">
        <f t="shared" si="37"/>
        <v>2027-12</v>
      </c>
      <c r="J530" s="93" t="str">
        <f t="shared" si="34"/>
        <v>한문영</v>
      </c>
      <c r="K530" s="93" t="str">
        <f t="shared" si="35"/>
        <v>유진수</v>
      </c>
      <c r="L530" s="16" t="str">
        <f t="shared" si="36"/>
        <v>화</v>
      </c>
      <c r="M530" s="17" t="str">
        <f>IFERROR(VLOOKUP(B530,공휴일!B:C,2,0),"")</f>
        <v/>
      </c>
    </row>
    <row r="531" spans="2:13" x14ac:dyDescent="0.3">
      <c r="B531" s="142">
        <v>46750</v>
      </c>
      <c r="C531" s="143" t="s">
        <v>16</v>
      </c>
      <c r="D531" s="144"/>
      <c r="E531" s="143" t="s">
        <v>20</v>
      </c>
      <c r="F531" s="144"/>
      <c r="G531" s="147"/>
      <c r="H531" s="148" t="str">
        <f>IF(WORKDAY(B531-1,1,공휴일!$B$4:$B$24)=B531,IF(WORKDAY(B531,1,공휴일!$B$4:$B$24)&lt;&gt;B531+1,"금요일","평일"),IF(WORKDAY(B531,1,공휴일!$B$4:$B$24)&lt;&gt;B531+1,"토요일","일요일"))</f>
        <v>평일</v>
      </c>
      <c r="I531" s="125" t="str">
        <f t="shared" si="37"/>
        <v>2027-12</v>
      </c>
      <c r="J531" s="93" t="str">
        <f t="shared" si="34"/>
        <v>이현숙</v>
      </c>
      <c r="K531" s="93" t="str">
        <f t="shared" si="35"/>
        <v>이원철</v>
      </c>
      <c r="L531" s="16" t="str">
        <f t="shared" si="36"/>
        <v>수</v>
      </c>
      <c r="M531" s="17" t="str">
        <f>IFERROR(VLOOKUP(B531,공휴일!B:C,2,0),"")</f>
        <v/>
      </c>
    </row>
    <row r="532" spans="2:13" x14ac:dyDescent="0.3">
      <c r="B532" s="142">
        <v>46751</v>
      </c>
      <c r="C532" s="143" t="s">
        <v>13</v>
      </c>
      <c r="D532" s="144"/>
      <c r="E532" s="143" t="s">
        <v>21</v>
      </c>
      <c r="F532" s="144"/>
      <c r="G532" s="147"/>
      <c r="H532" s="148" t="str">
        <f>IF(WORKDAY(B532-1,1,공휴일!$B$4:$B$24)=B532,IF(WORKDAY(B532,1,공휴일!$B$4:$B$24)&lt;&gt;B532+1,"금요일","평일"),IF(WORKDAY(B532,1,공휴일!$B$4:$B$24)&lt;&gt;B532+1,"토요일","일요일"))</f>
        <v>평일</v>
      </c>
      <c r="I532" s="125" t="str">
        <f t="shared" si="37"/>
        <v>2027-12</v>
      </c>
      <c r="J532" s="93" t="str">
        <f t="shared" si="34"/>
        <v>안지영</v>
      </c>
      <c r="K532" s="93" t="str">
        <f t="shared" si="35"/>
        <v>정찬웅</v>
      </c>
      <c r="L532" s="16" t="str">
        <f t="shared" si="36"/>
        <v>목</v>
      </c>
      <c r="M532" s="17" t="str">
        <f>IFERROR(VLOOKUP(B532,공휴일!B:C,2,0),"")</f>
        <v/>
      </c>
    </row>
    <row r="533" spans="2:13" x14ac:dyDescent="0.3">
      <c r="B533" s="142">
        <v>46752</v>
      </c>
      <c r="C533" s="143" t="s">
        <v>41</v>
      </c>
      <c r="D533" s="144"/>
      <c r="E533" s="143" t="s">
        <v>22</v>
      </c>
      <c r="F533" s="144"/>
      <c r="G533" s="147"/>
      <c r="H533" s="148" t="str">
        <f>IF(WORKDAY(B533-1,1,공휴일!$B$4:$B$24)=B533,IF(WORKDAY(B533,1,공휴일!$B$4:$B$24)&lt;&gt;B533+1,"금요일","평일"),IF(WORKDAY(B533,1,공휴일!$B$4:$B$24)&lt;&gt;B533+1,"토요일","일요일"))</f>
        <v>금요일</v>
      </c>
      <c r="I533" s="125" t="str">
        <f t="shared" si="37"/>
        <v>2027-12</v>
      </c>
      <c r="J533" s="93" t="str">
        <f t="shared" si="34"/>
        <v>송남철</v>
      </c>
      <c r="K533" s="93" t="str">
        <f t="shared" si="35"/>
        <v>서진호</v>
      </c>
      <c r="L533" s="16" t="str">
        <f t="shared" si="36"/>
        <v>금</v>
      </c>
      <c r="M533" s="17" t="str">
        <f>IFERROR(VLOOKUP(B533,공휴일!B:C,2,0),"")</f>
        <v/>
      </c>
    </row>
    <row r="534" spans="2:13" x14ac:dyDescent="0.3">
      <c r="B534" s="142">
        <v>46753</v>
      </c>
      <c r="C534" s="143" t="s">
        <v>17</v>
      </c>
      <c r="D534" s="144"/>
      <c r="E534" s="143" t="s">
        <v>11</v>
      </c>
      <c r="F534" s="144"/>
      <c r="G534" s="147"/>
      <c r="H534" s="148" t="str">
        <f>IF(WORKDAY(B534-1,1,공휴일!$B$4:$B$24)=B534,IF(WORKDAY(B534,1,공휴일!$B$4:$B$24)&lt;&gt;B534+1,"금요일","평일"),IF(WORKDAY(B534,1,공휴일!$B$4:$B$24)&lt;&gt;B534+1,"토요일","일요일"))</f>
        <v>토요일</v>
      </c>
      <c r="I534" s="125" t="str">
        <f t="shared" si="37"/>
        <v>2028-01</v>
      </c>
      <c r="J534" s="93" t="str">
        <f t="shared" si="34"/>
        <v>신혜원</v>
      </c>
      <c r="K534" s="93" t="str">
        <f t="shared" si="35"/>
        <v>장민우</v>
      </c>
      <c r="L534" s="16" t="str">
        <f t="shared" si="36"/>
        <v>토</v>
      </c>
      <c r="M534" s="17" t="str">
        <f>IFERROR(VLOOKUP(B534,공휴일!B:C,2,0),"")</f>
        <v>신정</v>
      </c>
    </row>
    <row r="535" spans="2:13" x14ac:dyDescent="0.3">
      <c r="B535" s="142">
        <v>46754</v>
      </c>
      <c r="C535" s="143" t="s">
        <v>40</v>
      </c>
      <c r="D535" s="144"/>
      <c r="E535" s="143" t="s">
        <v>19</v>
      </c>
      <c r="F535" s="144"/>
      <c r="G535" s="147"/>
      <c r="H535" s="148" t="str">
        <f>IF(WORKDAY(B535-1,1,공휴일!$B$4:$B$24)=B535,IF(WORKDAY(B535,1,공휴일!$B$4:$B$24)&lt;&gt;B535+1,"금요일","평일"),IF(WORKDAY(B535,1,공휴일!$B$4:$B$24)&lt;&gt;B535+1,"토요일","일요일"))</f>
        <v>일요일</v>
      </c>
      <c r="I535" s="125" t="str">
        <f t="shared" si="37"/>
        <v>2028-01</v>
      </c>
      <c r="J535" s="93" t="str">
        <f t="shared" si="34"/>
        <v>여철호</v>
      </c>
      <c r="K535" s="93" t="str">
        <f t="shared" si="35"/>
        <v>우정수</v>
      </c>
      <c r="L535" s="16" t="str">
        <f t="shared" si="36"/>
        <v>일</v>
      </c>
      <c r="M535" s="17" t="str">
        <f>IFERROR(VLOOKUP(B535,공휴일!B:C,2,0),"")</f>
        <v/>
      </c>
    </row>
    <row r="536" spans="2:13" x14ac:dyDescent="0.3">
      <c r="B536" s="142">
        <v>46755</v>
      </c>
      <c r="C536" s="143" t="s">
        <v>15</v>
      </c>
      <c r="D536" s="144"/>
      <c r="E536" s="143" t="s">
        <v>44</v>
      </c>
      <c r="F536" s="144"/>
      <c r="G536" s="147"/>
      <c r="H536" s="148" t="str">
        <f>IF(WORKDAY(B536-1,1,공휴일!$B$4:$B$24)=B536,IF(WORKDAY(B536,1,공휴일!$B$4:$B$24)&lt;&gt;B536+1,"금요일","평일"),IF(WORKDAY(B536,1,공휴일!$B$4:$B$24)&lt;&gt;B536+1,"토요일","일요일"))</f>
        <v>평일</v>
      </c>
      <c r="I536" s="125" t="str">
        <f t="shared" si="37"/>
        <v>2028-01</v>
      </c>
      <c r="J536" s="93" t="str">
        <f t="shared" si="34"/>
        <v>구민아</v>
      </c>
      <c r="K536" s="93" t="str">
        <f t="shared" si="35"/>
        <v>오기희</v>
      </c>
      <c r="L536" s="16" t="str">
        <f t="shared" si="36"/>
        <v>월</v>
      </c>
      <c r="M536" s="17" t="str">
        <f>IFERROR(VLOOKUP(B536,공휴일!B:C,2,0),"")</f>
        <v>대체공휴일</v>
      </c>
    </row>
    <row r="537" spans="2:13" x14ac:dyDescent="0.3">
      <c r="B537" s="142">
        <v>46756</v>
      </c>
      <c r="C537" s="143" t="s">
        <v>14</v>
      </c>
      <c r="D537" s="144"/>
      <c r="E537" s="143" t="s">
        <v>18</v>
      </c>
      <c r="F537" s="144"/>
      <c r="G537" s="147"/>
      <c r="H537" s="148" t="str">
        <f>IF(WORKDAY(B537-1,1,공휴일!$B$4:$B$24)=B537,IF(WORKDAY(B537,1,공휴일!$B$4:$B$24)&lt;&gt;B537+1,"금요일","평일"),IF(WORKDAY(B537,1,공휴일!$B$4:$B$24)&lt;&gt;B537+1,"토요일","일요일"))</f>
        <v>평일</v>
      </c>
      <c r="I537" s="125" t="str">
        <f t="shared" si="37"/>
        <v>2028-01</v>
      </c>
      <c r="J537" s="93" t="str">
        <f t="shared" si="34"/>
        <v>고석규</v>
      </c>
      <c r="K537" s="93" t="str">
        <f t="shared" si="35"/>
        <v>이승현</v>
      </c>
      <c r="L537" s="16" t="str">
        <f t="shared" si="36"/>
        <v>화</v>
      </c>
      <c r="M537" s="17" t="str">
        <f>IFERROR(VLOOKUP(B537,공휴일!B:C,2,0),"")</f>
        <v/>
      </c>
    </row>
    <row r="538" spans="2:13" x14ac:dyDescent="0.3">
      <c r="B538" s="142">
        <v>46757</v>
      </c>
      <c r="C538" s="143" t="s">
        <v>12</v>
      </c>
      <c r="D538" s="144"/>
      <c r="E538" s="143" t="s">
        <v>10</v>
      </c>
      <c r="F538" s="144"/>
      <c r="G538" s="147"/>
      <c r="H538" s="148" t="str">
        <f>IF(WORKDAY(B538-1,1,공휴일!$B$4:$B$24)=B538,IF(WORKDAY(B538,1,공휴일!$B$4:$B$24)&lt;&gt;B538+1,"금요일","평일"),IF(WORKDAY(B538,1,공휴일!$B$4:$B$24)&lt;&gt;B538+1,"토요일","일요일"))</f>
        <v>평일</v>
      </c>
      <c r="I538" s="125" t="str">
        <f t="shared" si="37"/>
        <v>2028-01</v>
      </c>
      <c r="J538" s="93" t="str">
        <f t="shared" si="34"/>
        <v>한문영</v>
      </c>
      <c r="K538" s="93" t="str">
        <f t="shared" si="35"/>
        <v>유진수</v>
      </c>
      <c r="L538" s="16" t="str">
        <f t="shared" si="36"/>
        <v>수</v>
      </c>
      <c r="M538" s="17" t="str">
        <f>IFERROR(VLOOKUP(B538,공휴일!B:C,2,0),"")</f>
        <v/>
      </c>
    </row>
    <row r="539" spans="2:13" x14ac:dyDescent="0.3">
      <c r="B539" s="142">
        <v>46758</v>
      </c>
      <c r="C539" s="143" t="s">
        <v>16</v>
      </c>
      <c r="D539" s="144"/>
      <c r="E539" s="143" t="s">
        <v>20</v>
      </c>
      <c r="F539" s="144"/>
      <c r="G539" s="147"/>
      <c r="H539" s="148" t="str">
        <f>IF(WORKDAY(B539-1,1,공휴일!$B$4:$B$24)=B539,IF(WORKDAY(B539,1,공휴일!$B$4:$B$24)&lt;&gt;B539+1,"금요일","평일"),IF(WORKDAY(B539,1,공휴일!$B$4:$B$24)&lt;&gt;B539+1,"토요일","일요일"))</f>
        <v>평일</v>
      </c>
      <c r="I539" s="125" t="str">
        <f t="shared" si="37"/>
        <v>2028-01</v>
      </c>
      <c r="J539" s="93" t="str">
        <f t="shared" si="34"/>
        <v>이현숙</v>
      </c>
      <c r="K539" s="93" t="str">
        <f t="shared" si="35"/>
        <v>이원철</v>
      </c>
      <c r="L539" s="16" t="str">
        <f t="shared" si="36"/>
        <v>목</v>
      </c>
      <c r="M539" s="17" t="str">
        <f>IFERROR(VLOOKUP(B539,공휴일!B:C,2,0),"")</f>
        <v/>
      </c>
    </row>
    <row r="540" spans="2:13" x14ac:dyDescent="0.3">
      <c r="B540" s="142">
        <v>46759</v>
      </c>
      <c r="C540" s="143" t="s">
        <v>13</v>
      </c>
      <c r="D540" s="144"/>
      <c r="E540" s="143" t="s">
        <v>21</v>
      </c>
      <c r="F540" s="144"/>
      <c r="G540" s="147"/>
      <c r="H540" s="148" t="str">
        <f>IF(WORKDAY(B540-1,1,공휴일!$B$4:$B$24)=B540,IF(WORKDAY(B540,1,공휴일!$B$4:$B$24)&lt;&gt;B540+1,"금요일","평일"),IF(WORKDAY(B540,1,공휴일!$B$4:$B$24)&lt;&gt;B540+1,"토요일","일요일"))</f>
        <v>금요일</v>
      </c>
      <c r="I540" s="125" t="str">
        <f t="shared" si="37"/>
        <v>2028-01</v>
      </c>
      <c r="J540" s="93" t="str">
        <f t="shared" si="34"/>
        <v>안지영</v>
      </c>
      <c r="K540" s="93" t="str">
        <f t="shared" si="35"/>
        <v>정찬웅</v>
      </c>
      <c r="L540" s="16" t="str">
        <f t="shared" si="36"/>
        <v>금</v>
      </c>
      <c r="M540" s="17" t="str">
        <f>IFERROR(VLOOKUP(B540,공휴일!B:C,2,0),"")</f>
        <v/>
      </c>
    </row>
    <row r="541" spans="2:13" x14ac:dyDescent="0.3">
      <c r="B541" s="142">
        <v>46760</v>
      </c>
      <c r="C541" s="143" t="s">
        <v>41</v>
      </c>
      <c r="D541" s="144"/>
      <c r="E541" s="143" t="s">
        <v>22</v>
      </c>
      <c r="F541" s="144"/>
      <c r="G541" s="147"/>
      <c r="H541" s="148" t="str">
        <f>IF(WORKDAY(B541-1,1,공휴일!$B$4:$B$24)=B541,IF(WORKDAY(B541,1,공휴일!$B$4:$B$24)&lt;&gt;B541+1,"금요일","평일"),IF(WORKDAY(B541,1,공휴일!$B$4:$B$24)&lt;&gt;B541+1,"토요일","일요일"))</f>
        <v>토요일</v>
      </c>
      <c r="I541" s="125" t="str">
        <f t="shared" si="37"/>
        <v>2028-01</v>
      </c>
      <c r="J541" s="93" t="str">
        <f t="shared" si="34"/>
        <v>송남철</v>
      </c>
      <c r="K541" s="93" t="str">
        <f t="shared" si="35"/>
        <v>서진호</v>
      </c>
      <c r="L541" s="16" t="str">
        <f t="shared" si="36"/>
        <v>토</v>
      </c>
      <c r="M541" s="17" t="str">
        <f>IFERROR(VLOOKUP(B541,공휴일!B:C,2,0),"")</f>
        <v/>
      </c>
    </row>
    <row r="542" spans="2:13" x14ac:dyDescent="0.3">
      <c r="B542" s="142">
        <v>46761</v>
      </c>
      <c r="C542" s="143" t="s">
        <v>17</v>
      </c>
      <c r="D542" s="144"/>
      <c r="E542" s="143" t="s">
        <v>11</v>
      </c>
      <c r="F542" s="144"/>
      <c r="G542" s="147"/>
      <c r="H542" s="148" t="str">
        <f>IF(WORKDAY(B542-1,1,공휴일!$B$4:$B$24)=B542,IF(WORKDAY(B542,1,공휴일!$B$4:$B$24)&lt;&gt;B542+1,"금요일","평일"),IF(WORKDAY(B542,1,공휴일!$B$4:$B$24)&lt;&gt;B542+1,"토요일","일요일"))</f>
        <v>일요일</v>
      </c>
      <c r="I542" s="125" t="str">
        <f t="shared" si="37"/>
        <v>2028-01</v>
      </c>
      <c r="J542" s="93" t="str">
        <f t="shared" si="34"/>
        <v>신혜원</v>
      </c>
      <c r="K542" s="93" t="str">
        <f t="shared" si="35"/>
        <v>장민우</v>
      </c>
      <c r="L542" s="16" t="str">
        <f t="shared" si="36"/>
        <v>일</v>
      </c>
      <c r="M542" s="17" t="str">
        <f>IFERROR(VLOOKUP(B542,공휴일!B:C,2,0),"")</f>
        <v/>
      </c>
    </row>
    <row r="543" spans="2:13" x14ac:dyDescent="0.3">
      <c r="B543" s="142">
        <v>46762</v>
      </c>
      <c r="C543" s="143" t="s">
        <v>40</v>
      </c>
      <c r="D543" s="144"/>
      <c r="E543" s="143" t="s">
        <v>19</v>
      </c>
      <c r="F543" s="144"/>
      <c r="G543" s="147"/>
      <c r="H543" s="148" t="str">
        <f>IF(WORKDAY(B543-1,1,공휴일!$B$4:$B$24)=B543,IF(WORKDAY(B543,1,공휴일!$B$4:$B$24)&lt;&gt;B543+1,"금요일","평일"),IF(WORKDAY(B543,1,공휴일!$B$4:$B$24)&lt;&gt;B543+1,"토요일","일요일"))</f>
        <v>평일</v>
      </c>
      <c r="I543" s="125" t="str">
        <f t="shared" si="37"/>
        <v>2028-01</v>
      </c>
      <c r="J543" s="93" t="str">
        <f t="shared" si="34"/>
        <v>여철호</v>
      </c>
      <c r="K543" s="93" t="str">
        <f t="shared" si="35"/>
        <v>우정수</v>
      </c>
      <c r="L543" s="16" t="str">
        <f t="shared" si="36"/>
        <v>월</v>
      </c>
      <c r="M543" s="17" t="str">
        <f>IFERROR(VLOOKUP(B543,공휴일!B:C,2,0),"")</f>
        <v/>
      </c>
    </row>
    <row r="544" spans="2:13" x14ac:dyDescent="0.3">
      <c r="B544" s="142">
        <v>46763</v>
      </c>
      <c r="C544" s="143" t="s">
        <v>15</v>
      </c>
      <c r="D544" s="144"/>
      <c r="E544" s="143" t="s">
        <v>44</v>
      </c>
      <c r="F544" s="144"/>
      <c r="G544" s="147"/>
      <c r="H544" s="148" t="str">
        <f>IF(WORKDAY(B544-1,1,공휴일!$B$4:$B$24)=B544,IF(WORKDAY(B544,1,공휴일!$B$4:$B$24)&lt;&gt;B544+1,"금요일","평일"),IF(WORKDAY(B544,1,공휴일!$B$4:$B$24)&lt;&gt;B544+1,"토요일","일요일"))</f>
        <v>평일</v>
      </c>
      <c r="I544" s="125" t="str">
        <f t="shared" si="37"/>
        <v>2028-01</v>
      </c>
      <c r="J544" s="93" t="str">
        <f t="shared" si="34"/>
        <v>구민아</v>
      </c>
      <c r="K544" s="93" t="str">
        <f t="shared" si="35"/>
        <v>오기희</v>
      </c>
      <c r="L544" s="16" t="str">
        <f t="shared" si="36"/>
        <v>화</v>
      </c>
      <c r="M544" s="17" t="str">
        <f>IFERROR(VLOOKUP(B544,공휴일!B:C,2,0),"")</f>
        <v/>
      </c>
    </row>
    <row r="545" spans="2:13" x14ac:dyDescent="0.3">
      <c r="B545" s="142">
        <v>46764</v>
      </c>
      <c r="C545" s="143" t="s">
        <v>14</v>
      </c>
      <c r="D545" s="144"/>
      <c r="E545" s="143" t="s">
        <v>18</v>
      </c>
      <c r="F545" s="144"/>
      <c r="G545" s="147"/>
      <c r="H545" s="148" t="str">
        <f>IF(WORKDAY(B545-1,1,공휴일!$B$4:$B$24)=B545,IF(WORKDAY(B545,1,공휴일!$B$4:$B$24)&lt;&gt;B545+1,"금요일","평일"),IF(WORKDAY(B545,1,공휴일!$B$4:$B$24)&lt;&gt;B545+1,"토요일","일요일"))</f>
        <v>평일</v>
      </c>
      <c r="I545" s="125" t="str">
        <f t="shared" si="37"/>
        <v>2028-01</v>
      </c>
      <c r="J545" s="93" t="str">
        <f t="shared" si="34"/>
        <v>고석규</v>
      </c>
      <c r="K545" s="93" t="str">
        <f t="shared" si="35"/>
        <v>이승현</v>
      </c>
      <c r="L545" s="16" t="str">
        <f t="shared" si="36"/>
        <v>수</v>
      </c>
      <c r="M545" s="17" t="str">
        <f>IFERROR(VLOOKUP(B545,공휴일!B:C,2,0),"")</f>
        <v/>
      </c>
    </row>
    <row r="546" spans="2:13" x14ac:dyDescent="0.3">
      <c r="B546" s="142">
        <v>46765</v>
      </c>
      <c r="C546" s="143" t="s">
        <v>12</v>
      </c>
      <c r="D546" s="144"/>
      <c r="E546" s="143" t="s">
        <v>10</v>
      </c>
      <c r="F546" s="144"/>
      <c r="G546" s="147"/>
      <c r="H546" s="148" t="str">
        <f>IF(WORKDAY(B546-1,1,공휴일!$B$4:$B$24)=B546,IF(WORKDAY(B546,1,공휴일!$B$4:$B$24)&lt;&gt;B546+1,"금요일","평일"),IF(WORKDAY(B546,1,공휴일!$B$4:$B$24)&lt;&gt;B546+1,"토요일","일요일"))</f>
        <v>평일</v>
      </c>
      <c r="I546" s="125" t="str">
        <f t="shared" si="37"/>
        <v>2028-01</v>
      </c>
      <c r="J546" s="93" t="str">
        <f t="shared" si="34"/>
        <v>한문영</v>
      </c>
      <c r="K546" s="93" t="str">
        <f t="shared" si="35"/>
        <v>유진수</v>
      </c>
      <c r="L546" s="16" t="str">
        <f t="shared" si="36"/>
        <v>목</v>
      </c>
      <c r="M546" s="17" t="str">
        <f>IFERROR(VLOOKUP(B546,공휴일!B:C,2,0),"")</f>
        <v/>
      </c>
    </row>
    <row r="547" spans="2:13" x14ac:dyDescent="0.3">
      <c r="B547" s="142">
        <v>46766</v>
      </c>
      <c r="C547" s="143" t="s">
        <v>16</v>
      </c>
      <c r="D547" s="144"/>
      <c r="E547" s="143" t="s">
        <v>20</v>
      </c>
      <c r="F547" s="144"/>
      <c r="G547" s="147"/>
      <c r="H547" s="148" t="str">
        <f>IF(WORKDAY(B547-1,1,공휴일!$B$4:$B$24)=B547,IF(WORKDAY(B547,1,공휴일!$B$4:$B$24)&lt;&gt;B547+1,"금요일","평일"),IF(WORKDAY(B547,1,공휴일!$B$4:$B$24)&lt;&gt;B547+1,"토요일","일요일"))</f>
        <v>금요일</v>
      </c>
      <c r="I547" s="125" t="str">
        <f t="shared" si="37"/>
        <v>2028-01</v>
      </c>
      <c r="J547" s="93" t="str">
        <f t="shared" si="34"/>
        <v>이현숙</v>
      </c>
      <c r="K547" s="93" t="str">
        <f t="shared" si="35"/>
        <v>이원철</v>
      </c>
      <c r="L547" s="16" t="str">
        <f t="shared" si="36"/>
        <v>금</v>
      </c>
      <c r="M547" s="17" t="str">
        <f>IFERROR(VLOOKUP(B547,공휴일!B:C,2,0),"")</f>
        <v/>
      </c>
    </row>
    <row r="548" spans="2:13" x14ac:dyDescent="0.3">
      <c r="B548" s="142">
        <v>46767</v>
      </c>
      <c r="C548" s="143" t="s">
        <v>13</v>
      </c>
      <c r="D548" s="144"/>
      <c r="E548" s="143" t="s">
        <v>21</v>
      </c>
      <c r="F548" s="144"/>
      <c r="G548" s="147"/>
      <c r="H548" s="148" t="str">
        <f>IF(WORKDAY(B548-1,1,공휴일!$B$4:$B$24)=B548,IF(WORKDAY(B548,1,공휴일!$B$4:$B$24)&lt;&gt;B548+1,"금요일","평일"),IF(WORKDAY(B548,1,공휴일!$B$4:$B$24)&lt;&gt;B548+1,"토요일","일요일"))</f>
        <v>토요일</v>
      </c>
      <c r="I548" s="125" t="str">
        <f t="shared" si="37"/>
        <v>2028-01</v>
      </c>
      <c r="J548" s="93" t="str">
        <f t="shared" si="34"/>
        <v>안지영</v>
      </c>
      <c r="K548" s="93" t="str">
        <f t="shared" si="35"/>
        <v>정찬웅</v>
      </c>
      <c r="L548" s="16" t="str">
        <f t="shared" si="36"/>
        <v>토</v>
      </c>
      <c r="M548" s="17" t="str">
        <f>IFERROR(VLOOKUP(B548,공휴일!B:C,2,0),"")</f>
        <v/>
      </c>
    </row>
    <row r="549" spans="2:13" x14ac:dyDescent="0.3">
      <c r="B549" s="142">
        <v>46768</v>
      </c>
      <c r="C549" s="143" t="s">
        <v>41</v>
      </c>
      <c r="D549" s="144"/>
      <c r="E549" s="143" t="s">
        <v>22</v>
      </c>
      <c r="F549" s="144"/>
      <c r="G549" s="147"/>
      <c r="H549" s="148" t="str">
        <f>IF(WORKDAY(B549-1,1,공휴일!$B$4:$B$24)=B549,IF(WORKDAY(B549,1,공휴일!$B$4:$B$24)&lt;&gt;B549+1,"금요일","평일"),IF(WORKDAY(B549,1,공휴일!$B$4:$B$24)&lt;&gt;B549+1,"토요일","일요일"))</f>
        <v>일요일</v>
      </c>
      <c r="I549" s="125" t="str">
        <f t="shared" si="37"/>
        <v>2028-01</v>
      </c>
      <c r="J549" s="93" t="str">
        <f t="shared" si="34"/>
        <v>송남철</v>
      </c>
      <c r="K549" s="93" t="str">
        <f t="shared" si="35"/>
        <v>서진호</v>
      </c>
      <c r="L549" s="16" t="str">
        <f t="shared" si="36"/>
        <v>일</v>
      </c>
      <c r="M549" s="17" t="str">
        <f>IFERROR(VLOOKUP(B549,공휴일!B:C,2,0),"")</f>
        <v/>
      </c>
    </row>
    <row r="550" spans="2:13" x14ac:dyDescent="0.3">
      <c r="B550" s="142">
        <v>46769</v>
      </c>
      <c r="C550" s="143" t="s">
        <v>17</v>
      </c>
      <c r="D550" s="144"/>
      <c r="E550" s="143" t="s">
        <v>11</v>
      </c>
      <c r="F550" s="144"/>
      <c r="G550" s="147"/>
      <c r="H550" s="148" t="str">
        <f>IF(WORKDAY(B550-1,1,공휴일!$B$4:$B$24)=B550,IF(WORKDAY(B550,1,공휴일!$B$4:$B$24)&lt;&gt;B550+1,"금요일","평일"),IF(WORKDAY(B550,1,공휴일!$B$4:$B$24)&lt;&gt;B550+1,"토요일","일요일"))</f>
        <v>평일</v>
      </c>
      <c r="I550" s="125" t="str">
        <f t="shared" si="37"/>
        <v>2028-01</v>
      </c>
      <c r="J550" s="93" t="str">
        <f t="shared" si="34"/>
        <v>신혜원</v>
      </c>
      <c r="K550" s="93" t="str">
        <f t="shared" si="35"/>
        <v>장민우</v>
      </c>
      <c r="L550" s="16" t="str">
        <f t="shared" si="36"/>
        <v>월</v>
      </c>
      <c r="M550" s="17" t="str">
        <f>IFERROR(VLOOKUP(B550,공휴일!B:C,2,0),"")</f>
        <v/>
      </c>
    </row>
    <row r="551" spans="2:13" x14ac:dyDescent="0.3">
      <c r="B551" s="142">
        <v>46770</v>
      </c>
      <c r="C551" s="143" t="s">
        <v>40</v>
      </c>
      <c r="D551" s="144"/>
      <c r="E551" s="143" t="s">
        <v>19</v>
      </c>
      <c r="F551" s="144"/>
      <c r="G551" s="147"/>
      <c r="H551" s="148" t="str">
        <f>IF(WORKDAY(B551-1,1,공휴일!$B$4:$B$24)=B551,IF(WORKDAY(B551,1,공휴일!$B$4:$B$24)&lt;&gt;B551+1,"금요일","평일"),IF(WORKDAY(B551,1,공휴일!$B$4:$B$24)&lt;&gt;B551+1,"토요일","일요일"))</f>
        <v>평일</v>
      </c>
      <c r="I551" s="125" t="str">
        <f t="shared" si="37"/>
        <v>2028-01</v>
      </c>
      <c r="J551" s="93" t="str">
        <f t="shared" si="34"/>
        <v>여철호</v>
      </c>
      <c r="K551" s="93" t="str">
        <f t="shared" si="35"/>
        <v>우정수</v>
      </c>
      <c r="L551" s="16" t="str">
        <f t="shared" si="36"/>
        <v>화</v>
      </c>
      <c r="M551" s="17" t="str">
        <f>IFERROR(VLOOKUP(B551,공휴일!B:C,2,0),"")</f>
        <v/>
      </c>
    </row>
    <row r="552" spans="2:13" x14ac:dyDescent="0.3">
      <c r="B552" s="142">
        <v>46771</v>
      </c>
      <c r="C552" s="143" t="s">
        <v>15</v>
      </c>
      <c r="D552" s="144"/>
      <c r="E552" s="143" t="s">
        <v>44</v>
      </c>
      <c r="F552" s="144"/>
      <c r="G552" s="147"/>
      <c r="H552" s="148" t="str">
        <f>IF(WORKDAY(B552-1,1,공휴일!$B$4:$B$24)=B552,IF(WORKDAY(B552,1,공휴일!$B$4:$B$24)&lt;&gt;B552+1,"금요일","평일"),IF(WORKDAY(B552,1,공휴일!$B$4:$B$24)&lt;&gt;B552+1,"토요일","일요일"))</f>
        <v>평일</v>
      </c>
      <c r="I552" s="125" t="str">
        <f t="shared" si="37"/>
        <v>2028-01</v>
      </c>
      <c r="J552" s="93" t="str">
        <f t="shared" si="34"/>
        <v>구민아</v>
      </c>
      <c r="K552" s="93" t="str">
        <f t="shared" si="35"/>
        <v>오기희</v>
      </c>
      <c r="L552" s="16" t="str">
        <f t="shared" si="36"/>
        <v>수</v>
      </c>
      <c r="M552" s="17" t="str">
        <f>IFERROR(VLOOKUP(B552,공휴일!B:C,2,0),"")</f>
        <v/>
      </c>
    </row>
    <row r="553" spans="2:13" x14ac:dyDescent="0.3">
      <c r="B553" s="142">
        <v>46772</v>
      </c>
      <c r="C553" s="143" t="s">
        <v>14</v>
      </c>
      <c r="D553" s="144"/>
      <c r="E553" s="143" t="s">
        <v>18</v>
      </c>
      <c r="F553" s="144"/>
      <c r="G553" s="147"/>
      <c r="H553" s="148" t="str">
        <f>IF(WORKDAY(B553-1,1,공휴일!$B$4:$B$24)=B553,IF(WORKDAY(B553,1,공휴일!$B$4:$B$24)&lt;&gt;B553+1,"금요일","평일"),IF(WORKDAY(B553,1,공휴일!$B$4:$B$24)&lt;&gt;B553+1,"토요일","일요일"))</f>
        <v>평일</v>
      </c>
      <c r="I553" s="125" t="str">
        <f t="shared" si="37"/>
        <v>2028-01</v>
      </c>
      <c r="J553" s="93" t="str">
        <f t="shared" ref="J553:J616" si="38">IF(D553="",C553,D553)</f>
        <v>고석규</v>
      </c>
      <c r="K553" s="93" t="str">
        <f t="shared" ref="K553:K616" si="39">IF(F553="",E553,F553)</f>
        <v>이승현</v>
      </c>
      <c r="L553" s="16" t="str">
        <f t="shared" ref="L553:L616" si="40">TEXT(B553,"aaa")</f>
        <v>목</v>
      </c>
      <c r="M553" s="17" t="str">
        <f>IFERROR(VLOOKUP(B553,공휴일!B:C,2,0),"")</f>
        <v/>
      </c>
    </row>
    <row r="554" spans="2:13" x14ac:dyDescent="0.3">
      <c r="B554" s="142">
        <v>46773</v>
      </c>
      <c r="C554" s="143" t="s">
        <v>12</v>
      </c>
      <c r="D554" s="144"/>
      <c r="E554" s="143" t="s">
        <v>10</v>
      </c>
      <c r="F554" s="144"/>
      <c r="G554" s="147"/>
      <c r="H554" s="148" t="str">
        <f>IF(WORKDAY(B554-1,1,공휴일!$B$4:$B$24)=B554,IF(WORKDAY(B554,1,공휴일!$B$4:$B$24)&lt;&gt;B554+1,"금요일","평일"),IF(WORKDAY(B554,1,공휴일!$B$4:$B$24)&lt;&gt;B554+1,"토요일","일요일"))</f>
        <v>금요일</v>
      </c>
      <c r="I554" s="125" t="str">
        <f t="shared" si="37"/>
        <v>2028-01</v>
      </c>
      <c r="J554" s="93" t="str">
        <f t="shared" si="38"/>
        <v>한문영</v>
      </c>
      <c r="K554" s="93" t="str">
        <f t="shared" si="39"/>
        <v>유진수</v>
      </c>
      <c r="L554" s="16" t="str">
        <f t="shared" si="40"/>
        <v>금</v>
      </c>
      <c r="M554" s="17" t="str">
        <f>IFERROR(VLOOKUP(B554,공휴일!B:C,2,0),"")</f>
        <v/>
      </c>
    </row>
    <row r="555" spans="2:13" x14ac:dyDescent="0.3">
      <c r="B555" s="142">
        <v>46774</v>
      </c>
      <c r="C555" s="143" t="s">
        <v>16</v>
      </c>
      <c r="D555" s="144"/>
      <c r="E555" s="143" t="s">
        <v>20</v>
      </c>
      <c r="F555" s="144"/>
      <c r="G555" s="147"/>
      <c r="H555" s="148" t="str">
        <f>IF(WORKDAY(B555-1,1,공휴일!$B$4:$B$24)=B555,IF(WORKDAY(B555,1,공휴일!$B$4:$B$24)&lt;&gt;B555+1,"금요일","평일"),IF(WORKDAY(B555,1,공휴일!$B$4:$B$24)&lt;&gt;B555+1,"토요일","일요일"))</f>
        <v>토요일</v>
      </c>
      <c r="I555" s="125" t="str">
        <f t="shared" si="37"/>
        <v>2028-01</v>
      </c>
      <c r="J555" s="93" t="str">
        <f t="shared" si="38"/>
        <v>이현숙</v>
      </c>
      <c r="K555" s="93" t="str">
        <f t="shared" si="39"/>
        <v>이원철</v>
      </c>
      <c r="L555" s="16" t="str">
        <f t="shared" si="40"/>
        <v>토</v>
      </c>
      <c r="M555" s="17" t="str">
        <f>IFERROR(VLOOKUP(B555,공휴일!B:C,2,0),"")</f>
        <v/>
      </c>
    </row>
    <row r="556" spans="2:13" x14ac:dyDescent="0.3">
      <c r="B556" s="142">
        <v>46775</v>
      </c>
      <c r="C556" s="143" t="s">
        <v>13</v>
      </c>
      <c r="D556" s="144"/>
      <c r="E556" s="143" t="s">
        <v>21</v>
      </c>
      <c r="F556" s="144"/>
      <c r="G556" s="147"/>
      <c r="H556" s="148" t="str">
        <f>IF(WORKDAY(B556-1,1,공휴일!$B$4:$B$24)=B556,IF(WORKDAY(B556,1,공휴일!$B$4:$B$24)&lt;&gt;B556+1,"금요일","평일"),IF(WORKDAY(B556,1,공휴일!$B$4:$B$24)&lt;&gt;B556+1,"토요일","일요일"))</f>
        <v>일요일</v>
      </c>
      <c r="I556" s="125" t="str">
        <f t="shared" si="37"/>
        <v>2028-01</v>
      </c>
      <c r="J556" s="93" t="str">
        <f t="shared" si="38"/>
        <v>안지영</v>
      </c>
      <c r="K556" s="93" t="str">
        <f t="shared" si="39"/>
        <v>정찬웅</v>
      </c>
      <c r="L556" s="16" t="str">
        <f t="shared" si="40"/>
        <v>일</v>
      </c>
      <c r="M556" s="17" t="str">
        <f>IFERROR(VLOOKUP(B556,공휴일!B:C,2,0),"")</f>
        <v/>
      </c>
    </row>
    <row r="557" spans="2:13" x14ac:dyDescent="0.3">
      <c r="B557" s="142">
        <v>46776</v>
      </c>
      <c r="C557" s="143" t="s">
        <v>41</v>
      </c>
      <c r="D557" s="144"/>
      <c r="E557" s="143" t="s">
        <v>22</v>
      </c>
      <c r="F557" s="144"/>
      <c r="G557" s="147"/>
      <c r="H557" s="148" t="str">
        <f>IF(WORKDAY(B557-1,1,공휴일!$B$4:$B$24)=B557,IF(WORKDAY(B557,1,공휴일!$B$4:$B$24)&lt;&gt;B557+1,"금요일","평일"),IF(WORKDAY(B557,1,공휴일!$B$4:$B$24)&lt;&gt;B557+1,"토요일","일요일"))</f>
        <v>평일</v>
      </c>
      <c r="I557" s="125" t="str">
        <f t="shared" si="37"/>
        <v>2028-01</v>
      </c>
      <c r="J557" s="93" t="str">
        <f t="shared" si="38"/>
        <v>송남철</v>
      </c>
      <c r="K557" s="93" t="str">
        <f t="shared" si="39"/>
        <v>서진호</v>
      </c>
      <c r="L557" s="16" t="str">
        <f t="shared" si="40"/>
        <v>월</v>
      </c>
      <c r="M557" s="17" t="str">
        <f>IFERROR(VLOOKUP(B557,공휴일!B:C,2,0),"")</f>
        <v/>
      </c>
    </row>
    <row r="558" spans="2:13" x14ac:dyDescent="0.3">
      <c r="B558" s="142">
        <v>46777</v>
      </c>
      <c r="C558" s="143" t="s">
        <v>17</v>
      </c>
      <c r="D558" s="144"/>
      <c r="E558" s="143" t="s">
        <v>11</v>
      </c>
      <c r="F558" s="144"/>
      <c r="G558" s="147"/>
      <c r="H558" s="148" t="str">
        <f>IF(WORKDAY(B558-1,1,공휴일!$B$4:$B$24)=B558,IF(WORKDAY(B558,1,공휴일!$B$4:$B$24)&lt;&gt;B558+1,"금요일","평일"),IF(WORKDAY(B558,1,공휴일!$B$4:$B$24)&lt;&gt;B558+1,"토요일","일요일"))</f>
        <v>평일</v>
      </c>
      <c r="I558" s="125" t="str">
        <f t="shared" si="37"/>
        <v>2028-01</v>
      </c>
      <c r="J558" s="93" t="str">
        <f t="shared" si="38"/>
        <v>신혜원</v>
      </c>
      <c r="K558" s="93" t="str">
        <f t="shared" si="39"/>
        <v>장민우</v>
      </c>
      <c r="L558" s="16" t="str">
        <f t="shared" si="40"/>
        <v>화</v>
      </c>
      <c r="M558" s="17" t="str">
        <f>IFERROR(VLOOKUP(B558,공휴일!B:C,2,0),"")</f>
        <v/>
      </c>
    </row>
    <row r="559" spans="2:13" x14ac:dyDescent="0.3">
      <c r="B559" s="142">
        <v>46778</v>
      </c>
      <c r="C559" s="143" t="s">
        <v>40</v>
      </c>
      <c r="D559" s="144"/>
      <c r="E559" s="143" t="s">
        <v>19</v>
      </c>
      <c r="F559" s="144"/>
      <c r="G559" s="147"/>
      <c r="H559" s="148" t="str">
        <f>IF(WORKDAY(B559-1,1,공휴일!$B$4:$B$24)=B559,IF(WORKDAY(B559,1,공휴일!$B$4:$B$24)&lt;&gt;B559+1,"금요일","평일"),IF(WORKDAY(B559,1,공휴일!$B$4:$B$24)&lt;&gt;B559+1,"토요일","일요일"))</f>
        <v>평일</v>
      </c>
      <c r="I559" s="125" t="str">
        <f t="shared" si="37"/>
        <v>2028-01</v>
      </c>
      <c r="J559" s="93" t="str">
        <f t="shared" si="38"/>
        <v>여철호</v>
      </c>
      <c r="K559" s="93" t="str">
        <f t="shared" si="39"/>
        <v>우정수</v>
      </c>
      <c r="L559" s="16" t="str">
        <f t="shared" si="40"/>
        <v>수</v>
      </c>
      <c r="M559" s="17" t="str">
        <f>IFERROR(VLOOKUP(B559,공휴일!B:C,2,0),"")</f>
        <v/>
      </c>
    </row>
    <row r="560" spans="2:13" x14ac:dyDescent="0.3">
      <c r="B560" s="142">
        <v>46779</v>
      </c>
      <c r="C560" s="143" t="s">
        <v>15</v>
      </c>
      <c r="D560" s="144"/>
      <c r="E560" s="143" t="s">
        <v>44</v>
      </c>
      <c r="F560" s="144"/>
      <c r="G560" s="147"/>
      <c r="H560" s="148" t="str">
        <f>IF(WORKDAY(B560-1,1,공휴일!$B$4:$B$24)=B560,IF(WORKDAY(B560,1,공휴일!$B$4:$B$24)&lt;&gt;B560+1,"금요일","평일"),IF(WORKDAY(B560,1,공휴일!$B$4:$B$24)&lt;&gt;B560+1,"토요일","일요일"))</f>
        <v>평일</v>
      </c>
      <c r="I560" s="125" t="str">
        <f t="shared" si="37"/>
        <v>2028-01</v>
      </c>
      <c r="J560" s="93" t="str">
        <f t="shared" si="38"/>
        <v>구민아</v>
      </c>
      <c r="K560" s="93" t="str">
        <f t="shared" si="39"/>
        <v>오기희</v>
      </c>
      <c r="L560" s="16" t="str">
        <f t="shared" si="40"/>
        <v>목</v>
      </c>
      <c r="M560" s="17" t="str">
        <f>IFERROR(VLOOKUP(B560,공휴일!B:C,2,0),"")</f>
        <v/>
      </c>
    </row>
    <row r="561" spans="2:13" x14ac:dyDescent="0.3">
      <c r="B561" s="142">
        <v>46780</v>
      </c>
      <c r="C561" s="143" t="s">
        <v>14</v>
      </c>
      <c r="D561" s="144"/>
      <c r="E561" s="143" t="s">
        <v>18</v>
      </c>
      <c r="F561" s="144"/>
      <c r="G561" s="147"/>
      <c r="H561" s="148" t="str">
        <f>IF(WORKDAY(B561-1,1,공휴일!$B$4:$B$24)=B561,IF(WORKDAY(B561,1,공휴일!$B$4:$B$24)&lt;&gt;B561+1,"금요일","평일"),IF(WORKDAY(B561,1,공휴일!$B$4:$B$24)&lt;&gt;B561+1,"토요일","일요일"))</f>
        <v>금요일</v>
      </c>
      <c r="I561" s="125" t="str">
        <f t="shared" si="37"/>
        <v>2028-01</v>
      </c>
      <c r="J561" s="93" t="str">
        <f t="shared" si="38"/>
        <v>고석규</v>
      </c>
      <c r="K561" s="93" t="str">
        <f t="shared" si="39"/>
        <v>이승현</v>
      </c>
      <c r="L561" s="16" t="str">
        <f t="shared" si="40"/>
        <v>금</v>
      </c>
      <c r="M561" s="17" t="str">
        <f>IFERROR(VLOOKUP(B561,공휴일!B:C,2,0),"")</f>
        <v/>
      </c>
    </row>
    <row r="562" spans="2:13" x14ac:dyDescent="0.3">
      <c r="B562" s="142">
        <v>46781</v>
      </c>
      <c r="C562" s="143" t="s">
        <v>12</v>
      </c>
      <c r="D562" s="144"/>
      <c r="E562" s="143" t="s">
        <v>10</v>
      </c>
      <c r="F562" s="144"/>
      <c r="G562" s="147"/>
      <c r="H562" s="148" t="str">
        <f>IF(WORKDAY(B562-1,1,공휴일!$B$4:$B$24)=B562,IF(WORKDAY(B562,1,공휴일!$B$4:$B$24)&lt;&gt;B562+1,"금요일","평일"),IF(WORKDAY(B562,1,공휴일!$B$4:$B$24)&lt;&gt;B562+1,"토요일","일요일"))</f>
        <v>토요일</v>
      </c>
      <c r="I562" s="125" t="str">
        <f t="shared" si="37"/>
        <v>2028-01</v>
      </c>
      <c r="J562" s="93" t="str">
        <f t="shared" si="38"/>
        <v>한문영</v>
      </c>
      <c r="K562" s="93" t="str">
        <f t="shared" si="39"/>
        <v>유진수</v>
      </c>
      <c r="L562" s="16" t="str">
        <f t="shared" si="40"/>
        <v>토</v>
      </c>
      <c r="M562" s="17" t="str">
        <f>IFERROR(VLOOKUP(B562,공휴일!B:C,2,0),"")</f>
        <v/>
      </c>
    </row>
    <row r="563" spans="2:13" x14ac:dyDescent="0.3">
      <c r="B563" s="142">
        <v>46782</v>
      </c>
      <c r="C563" s="143" t="s">
        <v>16</v>
      </c>
      <c r="D563" s="144"/>
      <c r="E563" s="143" t="s">
        <v>20</v>
      </c>
      <c r="F563" s="144"/>
      <c r="G563" s="147"/>
      <c r="H563" s="148" t="str">
        <f>IF(WORKDAY(B563-1,1,공휴일!$B$4:$B$24)=B563,IF(WORKDAY(B563,1,공휴일!$B$4:$B$24)&lt;&gt;B563+1,"금요일","평일"),IF(WORKDAY(B563,1,공휴일!$B$4:$B$24)&lt;&gt;B563+1,"토요일","일요일"))</f>
        <v>일요일</v>
      </c>
      <c r="I563" s="125" t="str">
        <f t="shared" si="37"/>
        <v>2028-01</v>
      </c>
      <c r="J563" s="93" t="str">
        <f t="shared" si="38"/>
        <v>이현숙</v>
      </c>
      <c r="K563" s="93" t="str">
        <f t="shared" si="39"/>
        <v>이원철</v>
      </c>
      <c r="L563" s="16" t="str">
        <f t="shared" si="40"/>
        <v>일</v>
      </c>
      <c r="M563" s="17" t="str">
        <f>IFERROR(VLOOKUP(B563,공휴일!B:C,2,0),"")</f>
        <v/>
      </c>
    </row>
    <row r="564" spans="2:13" x14ac:dyDescent="0.3">
      <c r="B564" s="142">
        <v>46783</v>
      </c>
      <c r="C564" s="143" t="s">
        <v>13</v>
      </c>
      <c r="D564" s="144"/>
      <c r="E564" s="143" t="s">
        <v>21</v>
      </c>
      <c r="F564" s="144"/>
      <c r="G564" s="147"/>
      <c r="H564" s="148" t="str">
        <f>IF(WORKDAY(B564-1,1,공휴일!$B$4:$B$24)=B564,IF(WORKDAY(B564,1,공휴일!$B$4:$B$24)&lt;&gt;B564+1,"금요일","평일"),IF(WORKDAY(B564,1,공휴일!$B$4:$B$24)&lt;&gt;B564+1,"토요일","일요일"))</f>
        <v>평일</v>
      </c>
      <c r="I564" s="125" t="str">
        <f t="shared" si="37"/>
        <v>2028-01</v>
      </c>
      <c r="J564" s="93" t="str">
        <f t="shared" si="38"/>
        <v>안지영</v>
      </c>
      <c r="K564" s="93" t="str">
        <f t="shared" si="39"/>
        <v>정찬웅</v>
      </c>
      <c r="L564" s="16" t="str">
        <f t="shared" si="40"/>
        <v>월</v>
      </c>
      <c r="M564" s="17" t="str">
        <f>IFERROR(VLOOKUP(B564,공휴일!B:C,2,0),"")</f>
        <v/>
      </c>
    </row>
    <row r="565" spans="2:13" x14ac:dyDescent="0.3">
      <c r="B565" s="142">
        <v>46784</v>
      </c>
      <c r="C565" s="143" t="s">
        <v>41</v>
      </c>
      <c r="D565" s="144"/>
      <c r="E565" s="143" t="s">
        <v>22</v>
      </c>
      <c r="F565" s="144"/>
      <c r="G565" s="147"/>
      <c r="H565" s="148" t="str">
        <f>IF(WORKDAY(B565-1,1,공휴일!$B$4:$B$24)=B565,IF(WORKDAY(B565,1,공휴일!$B$4:$B$24)&lt;&gt;B565+1,"금요일","평일"),IF(WORKDAY(B565,1,공휴일!$B$4:$B$24)&lt;&gt;B565+1,"토요일","일요일"))</f>
        <v>평일</v>
      </c>
      <c r="I565" s="125" t="str">
        <f t="shared" si="37"/>
        <v>2028-02</v>
      </c>
      <c r="J565" s="93" t="str">
        <f t="shared" si="38"/>
        <v>송남철</v>
      </c>
      <c r="K565" s="93" t="str">
        <f t="shared" si="39"/>
        <v>서진호</v>
      </c>
      <c r="L565" s="16" t="str">
        <f t="shared" si="40"/>
        <v>화</v>
      </c>
      <c r="M565" s="17" t="str">
        <f>IFERROR(VLOOKUP(B565,공휴일!B:C,2,0),"")</f>
        <v/>
      </c>
    </row>
    <row r="566" spans="2:13" x14ac:dyDescent="0.3">
      <c r="B566" s="142">
        <v>46785</v>
      </c>
      <c r="C566" s="143" t="s">
        <v>17</v>
      </c>
      <c r="D566" s="144"/>
      <c r="E566" s="143" t="s">
        <v>11</v>
      </c>
      <c r="F566" s="144"/>
      <c r="G566" s="147"/>
      <c r="H566" s="148" t="str">
        <f>IF(WORKDAY(B566-1,1,공휴일!$B$4:$B$24)=B566,IF(WORKDAY(B566,1,공휴일!$B$4:$B$24)&lt;&gt;B566+1,"금요일","평일"),IF(WORKDAY(B566,1,공휴일!$B$4:$B$24)&lt;&gt;B566+1,"토요일","일요일"))</f>
        <v>평일</v>
      </c>
      <c r="I566" s="125" t="str">
        <f t="shared" si="37"/>
        <v>2028-02</v>
      </c>
      <c r="J566" s="93" t="str">
        <f t="shared" si="38"/>
        <v>신혜원</v>
      </c>
      <c r="K566" s="93" t="str">
        <f t="shared" si="39"/>
        <v>장민우</v>
      </c>
      <c r="L566" s="16" t="str">
        <f t="shared" si="40"/>
        <v>수</v>
      </c>
      <c r="M566" s="17" t="str">
        <f>IFERROR(VLOOKUP(B566,공휴일!B:C,2,0),"")</f>
        <v/>
      </c>
    </row>
    <row r="567" spans="2:13" x14ac:dyDescent="0.3">
      <c r="B567" s="142">
        <v>46786</v>
      </c>
      <c r="C567" s="143" t="s">
        <v>40</v>
      </c>
      <c r="D567" s="144"/>
      <c r="E567" s="143" t="s">
        <v>19</v>
      </c>
      <c r="F567" s="144"/>
      <c r="G567" s="147"/>
      <c r="H567" s="148" t="str">
        <f>IF(WORKDAY(B567-1,1,공휴일!$B$4:$B$24)=B567,IF(WORKDAY(B567,1,공휴일!$B$4:$B$24)&lt;&gt;B567+1,"금요일","평일"),IF(WORKDAY(B567,1,공휴일!$B$4:$B$24)&lt;&gt;B567+1,"토요일","일요일"))</f>
        <v>평일</v>
      </c>
      <c r="I567" s="125" t="str">
        <f t="shared" si="37"/>
        <v>2028-02</v>
      </c>
      <c r="J567" s="93" t="str">
        <f t="shared" si="38"/>
        <v>여철호</v>
      </c>
      <c r="K567" s="93" t="str">
        <f t="shared" si="39"/>
        <v>우정수</v>
      </c>
      <c r="L567" s="16" t="str">
        <f t="shared" si="40"/>
        <v>목</v>
      </c>
      <c r="M567" s="17" t="str">
        <f>IFERROR(VLOOKUP(B567,공휴일!B:C,2,0),"")</f>
        <v/>
      </c>
    </row>
    <row r="568" spans="2:13" x14ac:dyDescent="0.3">
      <c r="B568" s="142">
        <v>46787</v>
      </c>
      <c r="C568" s="143" t="s">
        <v>15</v>
      </c>
      <c r="D568" s="144"/>
      <c r="E568" s="143" t="s">
        <v>44</v>
      </c>
      <c r="F568" s="144"/>
      <c r="G568" s="147"/>
      <c r="H568" s="148" t="str">
        <f>IF(WORKDAY(B568-1,1,공휴일!$B$4:$B$24)=B568,IF(WORKDAY(B568,1,공휴일!$B$4:$B$24)&lt;&gt;B568+1,"금요일","평일"),IF(WORKDAY(B568,1,공휴일!$B$4:$B$24)&lt;&gt;B568+1,"토요일","일요일"))</f>
        <v>금요일</v>
      </c>
      <c r="I568" s="125" t="str">
        <f t="shared" si="37"/>
        <v>2028-02</v>
      </c>
      <c r="J568" s="93" t="str">
        <f t="shared" si="38"/>
        <v>구민아</v>
      </c>
      <c r="K568" s="93" t="str">
        <f t="shared" si="39"/>
        <v>오기희</v>
      </c>
      <c r="L568" s="16" t="str">
        <f t="shared" si="40"/>
        <v>금</v>
      </c>
      <c r="M568" s="17" t="str">
        <f>IFERROR(VLOOKUP(B568,공휴일!B:C,2,0),"")</f>
        <v/>
      </c>
    </row>
    <row r="569" spans="2:13" x14ac:dyDescent="0.3">
      <c r="B569" s="142">
        <v>46788</v>
      </c>
      <c r="C569" s="143" t="s">
        <v>14</v>
      </c>
      <c r="D569" s="144"/>
      <c r="E569" s="143" t="s">
        <v>18</v>
      </c>
      <c r="F569" s="144"/>
      <c r="G569" s="147"/>
      <c r="H569" s="148" t="str">
        <f>IF(WORKDAY(B569-1,1,공휴일!$B$4:$B$24)=B569,IF(WORKDAY(B569,1,공휴일!$B$4:$B$24)&lt;&gt;B569+1,"금요일","평일"),IF(WORKDAY(B569,1,공휴일!$B$4:$B$24)&lt;&gt;B569+1,"토요일","일요일"))</f>
        <v>토요일</v>
      </c>
      <c r="I569" s="125" t="str">
        <f t="shared" si="37"/>
        <v>2028-02</v>
      </c>
      <c r="J569" s="93" t="str">
        <f t="shared" si="38"/>
        <v>고석규</v>
      </c>
      <c r="K569" s="93" t="str">
        <f t="shared" si="39"/>
        <v>이승현</v>
      </c>
      <c r="L569" s="16" t="str">
        <f t="shared" si="40"/>
        <v>토</v>
      </c>
      <c r="M569" s="17" t="str">
        <f>IFERROR(VLOOKUP(B569,공휴일!B:C,2,0),"")</f>
        <v>설날연휴</v>
      </c>
    </row>
    <row r="570" spans="2:13" x14ac:dyDescent="0.3">
      <c r="B570" s="142">
        <v>46789</v>
      </c>
      <c r="C570" s="143" t="s">
        <v>12</v>
      </c>
      <c r="D570" s="144"/>
      <c r="E570" s="143" t="s">
        <v>10</v>
      </c>
      <c r="F570" s="144"/>
      <c r="G570" s="147"/>
      <c r="H570" s="148" t="str">
        <f>IF(WORKDAY(B570-1,1,공휴일!$B$4:$B$24)=B570,IF(WORKDAY(B570,1,공휴일!$B$4:$B$24)&lt;&gt;B570+1,"금요일","평일"),IF(WORKDAY(B570,1,공휴일!$B$4:$B$24)&lt;&gt;B570+1,"토요일","일요일"))</f>
        <v>일요일</v>
      </c>
      <c r="I570" s="125" t="str">
        <f t="shared" si="37"/>
        <v>2028-02</v>
      </c>
      <c r="J570" s="93" t="str">
        <f t="shared" si="38"/>
        <v>한문영</v>
      </c>
      <c r="K570" s="93" t="str">
        <f t="shared" si="39"/>
        <v>유진수</v>
      </c>
      <c r="L570" s="16" t="str">
        <f t="shared" si="40"/>
        <v>일</v>
      </c>
      <c r="M570" s="17" t="str">
        <f>IFERROR(VLOOKUP(B570,공휴일!B:C,2,0),"")</f>
        <v>설날</v>
      </c>
    </row>
    <row r="571" spans="2:13" x14ac:dyDescent="0.3">
      <c r="B571" s="142">
        <v>46790</v>
      </c>
      <c r="C571" s="143" t="s">
        <v>16</v>
      </c>
      <c r="D571" s="144"/>
      <c r="E571" s="143" t="s">
        <v>20</v>
      </c>
      <c r="F571" s="144"/>
      <c r="G571" s="147"/>
      <c r="H571" s="148" t="str">
        <f>IF(WORKDAY(B571-1,1,공휴일!$B$4:$B$24)=B571,IF(WORKDAY(B571,1,공휴일!$B$4:$B$24)&lt;&gt;B571+1,"금요일","평일"),IF(WORKDAY(B571,1,공휴일!$B$4:$B$24)&lt;&gt;B571+1,"토요일","일요일"))</f>
        <v>평일</v>
      </c>
      <c r="I571" s="125" t="str">
        <f t="shared" si="37"/>
        <v>2028-02</v>
      </c>
      <c r="J571" s="93" t="str">
        <f t="shared" si="38"/>
        <v>이현숙</v>
      </c>
      <c r="K571" s="93" t="str">
        <f t="shared" si="39"/>
        <v>이원철</v>
      </c>
      <c r="L571" s="16" t="str">
        <f t="shared" si="40"/>
        <v>월</v>
      </c>
      <c r="M571" s="17" t="str">
        <f>IFERROR(VLOOKUP(B571,공휴일!B:C,2,0),"")</f>
        <v>설날연휴</v>
      </c>
    </row>
    <row r="572" spans="2:13" x14ac:dyDescent="0.3">
      <c r="B572" s="142">
        <v>46791</v>
      </c>
      <c r="C572" s="143" t="s">
        <v>13</v>
      </c>
      <c r="D572" s="144"/>
      <c r="E572" s="143" t="s">
        <v>21</v>
      </c>
      <c r="F572" s="144"/>
      <c r="G572" s="147"/>
      <c r="H572" s="148" t="str">
        <f>IF(WORKDAY(B572-1,1,공휴일!$B$4:$B$24)=B572,IF(WORKDAY(B572,1,공휴일!$B$4:$B$24)&lt;&gt;B572+1,"금요일","평일"),IF(WORKDAY(B572,1,공휴일!$B$4:$B$24)&lt;&gt;B572+1,"토요일","일요일"))</f>
        <v>평일</v>
      </c>
      <c r="I572" s="125" t="str">
        <f t="shared" si="37"/>
        <v>2028-02</v>
      </c>
      <c r="J572" s="93" t="str">
        <f t="shared" si="38"/>
        <v>안지영</v>
      </c>
      <c r="K572" s="93" t="str">
        <f t="shared" si="39"/>
        <v>정찬웅</v>
      </c>
      <c r="L572" s="16" t="str">
        <f t="shared" si="40"/>
        <v>화</v>
      </c>
      <c r="M572" s="17" t="str">
        <f>IFERROR(VLOOKUP(B572,공휴일!B:C,2,0),"")</f>
        <v>대체공휴일</v>
      </c>
    </row>
    <row r="573" spans="2:13" x14ac:dyDescent="0.3">
      <c r="B573" s="142">
        <v>46792</v>
      </c>
      <c r="C573" s="143" t="s">
        <v>41</v>
      </c>
      <c r="D573" s="144"/>
      <c r="E573" s="143" t="s">
        <v>22</v>
      </c>
      <c r="F573" s="144"/>
      <c r="G573" s="147"/>
      <c r="H573" s="148" t="str">
        <f>IF(WORKDAY(B573-1,1,공휴일!$B$4:$B$24)=B573,IF(WORKDAY(B573,1,공휴일!$B$4:$B$24)&lt;&gt;B573+1,"금요일","평일"),IF(WORKDAY(B573,1,공휴일!$B$4:$B$24)&lt;&gt;B573+1,"토요일","일요일"))</f>
        <v>평일</v>
      </c>
      <c r="I573" s="125" t="str">
        <f t="shared" si="37"/>
        <v>2028-02</v>
      </c>
      <c r="J573" s="93" t="str">
        <f t="shared" si="38"/>
        <v>송남철</v>
      </c>
      <c r="K573" s="93" t="str">
        <f t="shared" si="39"/>
        <v>서진호</v>
      </c>
      <c r="L573" s="16" t="str">
        <f t="shared" si="40"/>
        <v>수</v>
      </c>
      <c r="M573" s="17" t="str">
        <f>IFERROR(VLOOKUP(B573,공휴일!B:C,2,0),"")</f>
        <v>대체공휴일</v>
      </c>
    </row>
    <row r="574" spans="2:13" x14ac:dyDescent="0.3">
      <c r="B574" s="142">
        <v>46793</v>
      </c>
      <c r="C574" s="143" t="s">
        <v>17</v>
      </c>
      <c r="D574" s="144"/>
      <c r="E574" s="143" t="s">
        <v>11</v>
      </c>
      <c r="F574" s="144"/>
      <c r="G574" s="147"/>
      <c r="H574" s="148" t="str">
        <f>IF(WORKDAY(B574-1,1,공휴일!$B$4:$B$24)=B574,IF(WORKDAY(B574,1,공휴일!$B$4:$B$24)&lt;&gt;B574+1,"금요일","평일"),IF(WORKDAY(B574,1,공휴일!$B$4:$B$24)&lt;&gt;B574+1,"토요일","일요일"))</f>
        <v>평일</v>
      </c>
      <c r="I574" s="125" t="str">
        <f t="shared" si="37"/>
        <v>2028-02</v>
      </c>
      <c r="J574" s="93" t="str">
        <f t="shared" si="38"/>
        <v>신혜원</v>
      </c>
      <c r="K574" s="93" t="str">
        <f t="shared" si="39"/>
        <v>장민우</v>
      </c>
      <c r="L574" s="16" t="str">
        <f t="shared" si="40"/>
        <v>목</v>
      </c>
      <c r="M574" s="17" t="str">
        <f>IFERROR(VLOOKUP(B574,공휴일!B:C,2,0),"")</f>
        <v/>
      </c>
    </row>
    <row r="575" spans="2:13" x14ac:dyDescent="0.3">
      <c r="B575" s="142">
        <v>46794</v>
      </c>
      <c r="C575" s="143" t="s">
        <v>40</v>
      </c>
      <c r="D575" s="144"/>
      <c r="E575" s="143" t="s">
        <v>19</v>
      </c>
      <c r="F575" s="144"/>
      <c r="G575" s="147"/>
      <c r="H575" s="148" t="str">
        <f>IF(WORKDAY(B575-1,1,공휴일!$B$4:$B$24)=B575,IF(WORKDAY(B575,1,공휴일!$B$4:$B$24)&lt;&gt;B575+1,"금요일","평일"),IF(WORKDAY(B575,1,공휴일!$B$4:$B$24)&lt;&gt;B575+1,"토요일","일요일"))</f>
        <v>금요일</v>
      </c>
      <c r="I575" s="125" t="str">
        <f t="shared" si="37"/>
        <v>2028-02</v>
      </c>
      <c r="J575" s="93" t="str">
        <f t="shared" si="38"/>
        <v>여철호</v>
      </c>
      <c r="K575" s="93" t="str">
        <f t="shared" si="39"/>
        <v>우정수</v>
      </c>
      <c r="L575" s="16" t="str">
        <f t="shared" si="40"/>
        <v>금</v>
      </c>
      <c r="M575" s="17" t="str">
        <f>IFERROR(VLOOKUP(B575,공휴일!B:C,2,0),"")</f>
        <v/>
      </c>
    </row>
    <row r="576" spans="2:13" x14ac:dyDescent="0.3">
      <c r="B576" s="142">
        <v>46795</v>
      </c>
      <c r="C576" s="143" t="s">
        <v>15</v>
      </c>
      <c r="D576" s="144"/>
      <c r="E576" s="143" t="s">
        <v>44</v>
      </c>
      <c r="F576" s="144"/>
      <c r="G576" s="147"/>
      <c r="H576" s="148" t="str">
        <f>IF(WORKDAY(B576-1,1,공휴일!$B$4:$B$24)=B576,IF(WORKDAY(B576,1,공휴일!$B$4:$B$24)&lt;&gt;B576+1,"금요일","평일"),IF(WORKDAY(B576,1,공휴일!$B$4:$B$24)&lt;&gt;B576+1,"토요일","일요일"))</f>
        <v>토요일</v>
      </c>
      <c r="I576" s="125" t="str">
        <f t="shared" si="37"/>
        <v>2028-02</v>
      </c>
      <c r="J576" s="93" t="str">
        <f t="shared" si="38"/>
        <v>구민아</v>
      </c>
      <c r="K576" s="93" t="str">
        <f t="shared" si="39"/>
        <v>오기희</v>
      </c>
      <c r="L576" s="16" t="str">
        <f t="shared" si="40"/>
        <v>토</v>
      </c>
      <c r="M576" s="17" t="str">
        <f>IFERROR(VLOOKUP(B576,공휴일!B:C,2,0),"")</f>
        <v/>
      </c>
    </row>
    <row r="577" spans="2:13" x14ac:dyDescent="0.3">
      <c r="B577" s="142">
        <v>46796</v>
      </c>
      <c r="C577" s="143" t="s">
        <v>14</v>
      </c>
      <c r="D577" s="144"/>
      <c r="E577" s="143" t="s">
        <v>18</v>
      </c>
      <c r="F577" s="144"/>
      <c r="G577" s="147"/>
      <c r="H577" s="148" t="str">
        <f>IF(WORKDAY(B577-1,1,공휴일!$B$4:$B$24)=B577,IF(WORKDAY(B577,1,공휴일!$B$4:$B$24)&lt;&gt;B577+1,"금요일","평일"),IF(WORKDAY(B577,1,공휴일!$B$4:$B$24)&lt;&gt;B577+1,"토요일","일요일"))</f>
        <v>일요일</v>
      </c>
      <c r="I577" s="125" t="str">
        <f t="shared" si="37"/>
        <v>2028-02</v>
      </c>
      <c r="J577" s="93" t="str">
        <f t="shared" si="38"/>
        <v>고석규</v>
      </c>
      <c r="K577" s="93" t="str">
        <f t="shared" si="39"/>
        <v>이승현</v>
      </c>
      <c r="L577" s="16" t="str">
        <f t="shared" si="40"/>
        <v>일</v>
      </c>
      <c r="M577" s="17" t="str">
        <f>IFERROR(VLOOKUP(B577,공휴일!B:C,2,0),"")</f>
        <v/>
      </c>
    </row>
    <row r="578" spans="2:13" x14ac:dyDescent="0.3">
      <c r="B578" s="142">
        <v>46797</v>
      </c>
      <c r="C578" s="143" t="s">
        <v>12</v>
      </c>
      <c r="D578" s="144"/>
      <c r="E578" s="143" t="s">
        <v>10</v>
      </c>
      <c r="F578" s="144"/>
      <c r="G578" s="147"/>
      <c r="H578" s="148" t="str">
        <f>IF(WORKDAY(B578-1,1,공휴일!$B$4:$B$24)=B578,IF(WORKDAY(B578,1,공휴일!$B$4:$B$24)&lt;&gt;B578+1,"금요일","평일"),IF(WORKDAY(B578,1,공휴일!$B$4:$B$24)&lt;&gt;B578+1,"토요일","일요일"))</f>
        <v>평일</v>
      </c>
      <c r="I578" s="125" t="str">
        <f t="shared" si="37"/>
        <v>2028-02</v>
      </c>
      <c r="J578" s="93" t="str">
        <f t="shared" si="38"/>
        <v>한문영</v>
      </c>
      <c r="K578" s="93" t="str">
        <f t="shared" si="39"/>
        <v>유진수</v>
      </c>
      <c r="L578" s="16" t="str">
        <f t="shared" si="40"/>
        <v>월</v>
      </c>
      <c r="M578" s="17" t="str">
        <f>IFERROR(VLOOKUP(B578,공휴일!B:C,2,0),"")</f>
        <v/>
      </c>
    </row>
    <row r="579" spans="2:13" x14ac:dyDescent="0.3">
      <c r="B579" s="142">
        <v>46798</v>
      </c>
      <c r="C579" s="143" t="s">
        <v>16</v>
      </c>
      <c r="D579" s="144"/>
      <c r="E579" s="143" t="s">
        <v>20</v>
      </c>
      <c r="F579" s="144"/>
      <c r="G579" s="147"/>
      <c r="H579" s="148" t="str">
        <f>IF(WORKDAY(B579-1,1,공휴일!$B$4:$B$24)=B579,IF(WORKDAY(B579,1,공휴일!$B$4:$B$24)&lt;&gt;B579+1,"금요일","평일"),IF(WORKDAY(B579,1,공휴일!$B$4:$B$24)&lt;&gt;B579+1,"토요일","일요일"))</f>
        <v>평일</v>
      </c>
      <c r="I579" s="125" t="str">
        <f t="shared" si="37"/>
        <v>2028-02</v>
      </c>
      <c r="J579" s="93" t="str">
        <f t="shared" si="38"/>
        <v>이현숙</v>
      </c>
      <c r="K579" s="93" t="str">
        <f t="shared" si="39"/>
        <v>이원철</v>
      </c>
      <c r="L579" s="16" t="str">
        <f t="shared" si="40"/>
        <v>화</v>
      </c>
      <c r="M579" s="17" t="str">
        <f>IFERROR(VLOOKUP(B579,공휴일!B:C,2,0),"")</f>
        <v/>
      </c>
    </row>
    <row r="580" spans="2:13" x14ac:dyDescent="0.3">
      <c r="B580" s="142">
        <v>46799</v>
      </c>
      <c r="C580" s="143" t="s">
        <v>13</v>
      </c>
      <c r="D580" s="144"/>
      <c r="E580" s="143" t="s">
        <v>21</v>
      </c>
      <c r="F580" s="144"/>
      <c r="G580" s="147"/>
      <c r="H580" s="148" t="str">
        <f>IF(WORKDAY(B580-1,1,공휴일!$B$4:$B$24)=B580,IF(WORKDAY(B580,1,공휴일!$B$4:$B$24)&lt;&gt;B580+1,"금요일","평일"),IF(WORKDAY(B580,1,공휴일!$B$4:$B$24)&lt;&gt;B580+1,"토요일","일요일"))</f>
        <v>평일</v>
      </c>
      <c r="I580" s="125" t="str">
        <f t="shared" si="37"/>
        <v>2028-02</v>
      </c>
      <c r="J580" s="93" t="str">
        <f t="shared" si="38"/>
        <v>안지영</v>
      </c>
      <c r="K580" s="93" t="str">
        <f t="shared" si="39"/>
        <v>정찬웅</v>
      </c>
      <c r="L580" s="16" t="str">
        <f t="shared" si="40"/>
        <v>수</v>
      </c>
      <c r="M580" s="17" t="str">
        <f>IFERROR(VLOOKUP(B580,공휴일!B:C,2,0),"")</f>
        <v/>
      </c>
    </row>
    <row r="581" spans="2:13" x14ac:dyDescent="0.3">
      <c r="B581" s="142">
        <v>46800</v>
      </c>
      <c r="C581" s="143" t="s">
        <v>41</v>
      </c>
      <c r="D581" s="144"/>
      <c r="E581" s="143" t="s">
        <v>22</v>
      </c>
      <c r="F581" s="144"/>
      <c r="G581" s="147"/>
      <c r="H581" s="148" t="str">
        <f>IF(WORKDAY(B581-1,1,공휴일!$B$4:$B$24)=B581,IF(WORKDAY(B581,1,공휴일!$B$4:$B$24)&lt;&gt;B581+1,"금요일","평일"),IF(WORKDAY(B581,1,공휴일!$B$4:$B$24)&lt;&gt;B581+1,"토요일","일요일"))</f>
        <v>평일</v>
      </c>
      <c r="I581" s="125" t="str">
        <f t="shared" si="37"/>
        <v>2028-02</v>
      </c>
      <c r="J581" s="93" t="str">
        <f t="shared" si="38"/>
        <v>송남철</v>
      </c>
      <c r="K581" s="93" t="str">
        <f t="shared" si="39"/>
        <v>서진호</v>
      </c>
      <c r="L581" s="16" t="str">
        <f t="shared" si="40"/>
        <v>목</v>
      </c>
      <c r="M581" s="17" t="str">
        <f>IFERROR(VLOOKUP(B581,공휴일!B:C,2,0),"")</f>
        <v/>
      </c>
    </row>
    <row r="582" spans="2:13" x14ac:dyDescent="0.3">
      <c r="B582" s="142">
        <v>46801</v>
      </c>
      <c r="C582" s="143" t="s">
        <v>17</v>
      </c>
      <c r="D582" s="144"/>
      <c r="E582" s="143" t="s">
        <v>11</v>
      </c>
      <c r="F582" s="144"/>
      <c r="G582" s="147"/>
      <c r="H582" s="148" t="str">
        <f>IF(WORKDAY(B582-1,1,공휴일!$B$4:$B$24)=B582,IF(WORKDAY(B582,1,공휴일!$B$4:$B$24)&lt;&gt;B582+1,"금요일","평일"),IF(WORKDAY(B582,1,공휴일!$B$4:$B$24)&lt;&gt;B582+1,"토요일","일요일"))</f>
        <v>금요일</v>
      </c>
      <c r="I582" s="125" t="str">
        <f t="shared" ref="I582:I645" si="41">TEXT(B582,"yyyy-mm")</f>
        <v>2028-02</v>
      </c>
      <c r="J582" s="93" t="str">
        <f t="shared" si="38"/>
        <v>신혜원</v>
      </c>
      <c r="K582" s="93" t="str">
        <f t="shared" si="39"/>
        <v>장민우</v>
      </c>
      <c r="L582" s="16" t="str">
        <f t="shared" si="40"/>
        <v>금</v>
      </c>
      <c r="M582" s="17" t="str">
        <f>IFERROR(VLOOKUP(B582,공휴일!B:C,2,0),"")</f>
        <v/>
      </c>
    </row>
    <row r="583" spans="2:13" x14ac:dyDescent="0.3">
      <c r="B583" s="142">
        <v>46802</v>
      </c>
      <c r="C583" s="143" t="s">
        <v>40</v>
      </c>
      <c r="D583" s="144"/>
      <c r="E583" s="143" t="s">
        <v>19</v>
      </c>
      <c r="F583" s="144"/>
      <c r="G583" s="147"/>
      <c r="H583" s="148" t="str">
        <f>IF(WORKDAY(B583-1,1,공휴일!$B$4:$B$24)=B583,IF(WORKDAY(B583,1,공휴일!$B$4:$B$24)&lt;&gt;B583+1,"금요일","평일"),IF(WORKDAY(B583,1,공휴일!$B$4:$B$24)&lt;&gt;B583+1,"토요일","일요일"))</f>
        <v>토요일</v>
      </c>
      <c r="I583" s="125" t="str">
        <f t="shared" si="41"/>
        <v>2028-02</v>
      </c>
      <c r="J583" s="93" t="str">
        <f t="shared" si="38"/>
        <v>여철호</v>
      </c>
      <c r="K583" s="93" t="str">
        <f t="shared" si="39"/>
        <v>우정수</v>
      </c>
      <c r="L583" s="16" t="str">
        <f t="shared" si="40"/>
        <v>토</v>
      </c>
      <c r="M583" s="17" t="str">
        <f>IFERROR(VLOOKUP(B583,공휴일!B:C,2,0),"")</f>
        <v/>
      </c>
    </row>
    <row r="584" spans="2:13" x14ac:dyDescent="0.3">
      <c r="B584" s="142">
        <v>46803</v>
      </c>
      <c r="C584" s="143" t="s">
        <v>15</v>
      </c>
      <c r="D584" s="144"/>
      <c r="E584" s="143" t="s">
        <v>44</v>
      </c>
      <c r="F584" s="144"/>
      <c r="G584" s="147"/>
      <c r="H584" s="148" t="str">
        <f>IF(WORKDAY(B584-1,1,공휴일!$B$4:$B$24)=B584,IF(WORKDAY(B584,1,공휴일!$B$4:$B$24)&lt;&gt;B584+1,"금요일","평일"),IF(WORKDAY(B584,1,공휴일!$B$4:$B$24)&lt;&gt;B584+1,"토요일","일요일"))</f>
        <v>일요일</v>
      </c>
      <c r="I584" s="125" t="str">
        <f t="shared" si="41"/>
        <v>2028-02</v>
      </c>
      <c r="J584" s="93" t="str">
        <f t="shared" si="38"/>
        <v>구민아</v>
      </c>
      <c r="K584" s="93" t="str">
        <f t="shared" si="39"/>
        <v>오기희</v>
      </c>
      <c r="L584" s="16" t="str">
        <f t="shared" si="40"/>
        <v>일</v>
      </c>
      <c r="M584" s="17" t="str">
        <f>IFERROR(VLOOKUP(B584,공휴일!B:C,2,0),"")</f>
        <v/>
      </c>
    </row>
    <row r="585" spans="2:13" x14ac:dyDescent="0.3">
      <c r="B585" s="142">
        <v>46804</v>
      </c>
      <c r="C585" s="143" t="s">
        <v>14</v>
      </c>
      <c r="D585" s="144"/>
      <c r="E585" s="143" t="s">
        <v>18</v>
      </c>
      <c r="F585" s="144"/>
      <c r="G585" s="147"/>
      <c r="H585" s="148" t="str">
        <f>IF(WORKDAY(B585-1,1,공휴일!$B$4:$B$24)=B585,IF(WORKDAY(B585,1,공휴일!$B$4:$B$24)&lt;&gt;B585+1,"금요일","평일"),IF(WORKDAY(B585,1,공휴일!$B$4:$B$24)&lt;&gt;B585+1,"토요일","일요일"))</f>
        <v>평일</v>
      </c>
      <c r="I585" s="125" t="str">
        <f t="shared" si="41"/>
        <v>2028-02</v>
      </c>
      <c r="J585" s="93" t="str">
        <f t="shared" si="38"/>
        <v>고석규</v>
      </c>
      <c r="K585" s="93" t="str">
        <f t="shared" si="39"/>
        <v>이승현</v>
      </c>
      <c r="L585" s="16" t="str">
        <f t="shared" si="40"/>
        <v>월</v>
      </c>
      <c r="M585" s="17" t="str">
        <f>IFERROR(VLOOKUP(B585,공휴일!B:C,2,0),"")</f>
        <v/>
      </c>
    </row>
    <row r="586" spans="2:13" x14ac:dyDescent="0.3">
      <c r="B586" s="142">
        <v>46805</v>
      </c>
      <c r="C586" s="143" t="s">
        <v>12</v>
      </c>
      <c r="D586" s="144"/>
      <c r="E586" s="143" t="s">
        <v>10</v>
      </c>
      <c r="F586" s="144"/>
      <c r="G586" s="147"/>
      <c r="H586" s="148" t="str">
        <f>IF(WORKDAY(B586-1,1,공휴일!$B$4:$B$24)=B586,IF(WORKDAY(B586,1,공휴일!$B$4:$B$24)&lt;&gt;B586+1,"금요일","평일"),IF(WORKDAY(B586,1,공휴일!$B$4:$B$24)&lt;&gt;B586+1,"토요일","일요일"))</f>
        <v>평일</v>
      </c>
      <c r="I586" s="125" t="str">
        <f t="shared" si="41"/>
        <v>2028-02</v>
      </c>
      <c r="J586" s="93" t="str">
        <f t="shared" si="38"/>
        <v>한문영</v>
      </c>
      <c r="K586" s="93" t="str">
        <f t="shared" si="39"/>
        <v>유진수</v>
      </c>
      <c r="L586" s="16" t="str">
        <f t="shared" si="40"/>
        <v>화</v>
      </c>
      <c r="M586" s="17" t="str">
        <f>IFERROR(VLOOKUP(B586,공휴일!B:C,2,0),"")</f>
        <v/>
      </c>
    </row>
    <row r="587" spans="2:13" x14ac:dyDescent="0.3">
      <c r="B587" s="142">
        <v>46806</v>
      </c>
      <c r="C587" s="143" t="s">
        <v>16</v>
      </c>
      <c r="D587" s="144"/>
      <c r="E587" s="143" t="s">
        <v>20</v>
      </c>
      <c r="F587" s="144"/>
      <c r="G587" s="147"/>
      <c r="H587" s="148" t="str">
        <f>IF(WORKDAY(B587-1,1,공휴일!$B$4:$B$24)=B587,IF(WORKDAY(B587,1,공휴일!$B$4:$B$24)&lt;&gt;B587+1,"금요일","평일"),IF(WORKDAY(B587,1,공휴일!$B$4:$B$24)&lt;&gt;B587+1,"토요일","일요일"))</f>
        <v>평일</v>
      </c>
      <c r="I587" s="125" t="str">
        <f t="shared" si="41"/>
        <v>2028-02</v>
      </c>
      <c r="J587" s="93" t="str">
        <f t="shared" si="38"/>
        <v>이현숙</v>
      </c>
      <c r="K587" s="93" t="str">
        <f t="shared" si="39"/>
        <v>이원철</v>
      </c>
      <c r="L587" s="16" t="str">
        <f t="shared" si="40"/>
        <v>수</v>
      </c>
      <c r="M587" s="17" t="str">
        <f>IFERROR(VLOOKUP(B587,공휴일!B:C,2,0),"")</f>
        <v/>
      </c>
    </row>
    <row r="588" spans="2:13" x14ac:dyDescent="0.3">
      <c r="B588" s="142">
        <v>46807</v>
      </c>
      <c r="C588" s="143" t="s">
        <v>13</v>
      </c>
      <c r="D588" s="144"/>
      <c r="E588" s="143" t="s">
        <v>21</v>
      </c>
      <c r="F588" s="144"/>
      <c r="G588" s="147"/>
      <c r="H588" s="148" t="str">
        <f>IF(WORKDAY(B588-1,1,공휴일!$B$4:$B$24)=B588,IF(WORKDAY(B588,1,공휴일!$B$4:$B$24)&lt;&gt;B588+1,"금요일","평일"),IF(WORKDAY(B588,1,공휴일!$B$4:$B$24)&lt;&gt;B588+1,"토요일","일요일"))</f>
        <v>평일</v>
      </c>
      <c r="I588" s="125" t="str">
        <f t="shared" si="41"/>
        <v>2028-02</v>
      </c>
      <c r="J588" s="93" t="str">
        <f t="shared" si="38"/>
        <v>안지영</v>
      </c>
      <c r="K588" s="93" t="str">
        <f t="shared" si="39"/>
        <v>정찬웅</v>
      </c>
      <c r="L588" s="16" t="str">
        <f t="shared" si="40"/>
        <v>목</v>
      </c>
      <c r="M588" s="17" t="str">
        <f>IFERROR(VLOOKUP(B588,공휴일!B:C,2,0),"")</f>
        <v/>
      </c>
    </row>
    <row r="589" spans="2:13" x14ac:dyDescent="0.3">
      <c r="B589" s="142">
        <v>46808</v>
      </c>
      <c r="C589" s="143" t="s">
        <v>41</v>
      </c>
      <c r="D589" s="144"/>
      <c r="E589" s="143" t="s">
        <v>22</v>
      </c>
      <c r="F589" s="144"/>
      <c r="G589" s="147"/>
      <c r="H589" s="148" t="str">
        <f>IF(WORKDAY(B589-1,1,공휴일!$B$4:$B$24)=B589,IF(WORKDAY(B589,1,공휴일!$B$4:$B$24)&lt;&gt;B589+1,"금요일","평일"),IF(WORKDAY(B589,1,공휴일!$B$4:$B$24)&lt;&gt;B589+1,"토요일","일요일"))</f>
        <v>금요일</v>
      </c>
      <c r="I589" s="125" t="str">
        <f t="shared" si="41"/>
        <v>2028-02</v>
      </c>
      <c r="J589" s="93" t="str">
        <f t="shared" si="38"/>
        <v>송남철</v>
      </c>
      <c r="K589" s="93" t="str">
        <f t="shared" si="39"/>
        <v>서진호</v>
      </c>
      <c r="L589" s="16" t="str">
        <f t="shared" si="40"/>
        <v>금</v>
      </c>
      <c r="M589" s="17" t="str">
        <f>IFERROR(VLOOKUP(B589,공휴일!B:C,2,0),"")</f>
        <v/>
      </c>
    </row>
    <row r="590" spans="2:13" x14ac:dyDescent="0.3">
      <c r="B590" s="142">
        <v>46809</v>
      </c>
      <c r="C590" s="143" t="s">
        <v>17</v>
      </c>
      <c r="D590" s="144"/>
      <c r="E590" s="143" t="s">
        <v>11</v>
      </c>
      <c r="F590" s="144"/>
      <c r="G590" s="147"/>
      <c r="H590" s="148" t="str">
        <f>IF(WORKDAY(B590-1,1,공휴일!$B$4:$B$24)=B590,IF(WORKDAY(B590,1,공휴일!$B$4:$B$24)&lt;&gt;B590+1,"금요일","평일"),IF(WORKDAY(B590,1,공휴일!$B$4:$B$24)&lt;&gt;B590+1,"토요일","일요일"))</f>
        <v>토요일</v>
      </c>
      <c r="I590" s="125" t="str">
        <f t="shared" si="41"/>
        <v>2028-02</v>
      </c>
      <c r="J590" s="93" t="str">
        <f t="shared" si="38"/>
        <v>신혜원</v>
      </c>
      <c r="K590" s="93" t="str">
        <f t="shared" si="39"/>
        <v>장민우</v>
      </c>
      <c r="L590" s="16" t="str">
        <f t="shared" si="40"/>
        <v>토</v>
      </c>
      <c r="M590" s="17" t="str">
        <f>IFERROR(VLOOKUP(B590,공휴일!B:C,2,0),"")</f>
        <v/>
      </c>
    </row>
    <row r="591" spans="2:13" x14ac:dyDescent="0.3">
      <c r="B591" s="142">
        <v>46810</v>
      </c>
      <c r="C591" s="143" t="s">
        <v>40</v>
      </c>
      <c r="D591" s="144"/>
      <c r="E591" s="143" t="s">
        <v>19</v>
      </c>
      <c r="F591" s="144"/>
      <c r="G591" s="147"/>
      <c r="H591" s="148" t="str">
        <f>IF(WORKDAY(B591-1,1,공휴일!$B$4:$B$24)=B591,IF(WORKDAY(B591,1,공휴일!$B$4:$B$24)&lt;&gt;B591+1,"금요일","평일"),IF(WORKDAY(B591,1,공휴일!$B$4:$B$24)&lt;&gt;B591+1,"토요일","일요일"))</f>
        <v>일요일</v>
      </c>
      <c r="I591" s="125" t="str">
        <f t="shared" si="41"/>
        <v>2028-02</v>
      </c>
      <c r="J591" s="93" t="str">
        <f t="shared" si="38"/>
        <v>여철호</v>
      </c>
      <c r="K591" s="93" t="str">
        <f t="shared" si="39"/>
        <v>우정수</v>
      </c>
      <c r="L591" s="16" t="str">
        <f t="shared" si="40"/>
        <v>일</v>
      </c>
      <c r="M591" s="17" t="str">
        <f>IFERROR(VLOOKUP(B591,공휴일!B:C,2,0),"")</f>
        <v/>
      </c>
    </row>
    <row r="592" spans="2:13" x14ac:dyDescent="0.3">
      <c r="B592" s="142">
        <v>46811</v>
      </c>
      <c r="C592" s="143" t="s">
        <v>15</v>
      </c>
      <c r="D592" s="144"/>
      <c r="E592" s="143" t="s">
        <v>44</v>
      </c>
      <c r="F592" s="144"/>
      <c r="G592" s="147"/>
      <c r="H592" s="148" t="str">
        <f>IF(WORKDAY(B592-1,1,공휴일!$B$4:$B$24)=B592,IF(WORKDAY(B592,1,공휴일!$B$4:$B$24)&lt;&gt;B592+1,"금요일","평일"),IF(WORKDAY(B592,1,공휴일!$B$4:$B$24)&lt;&gt;B592+1,"토요일","일요일"))</f>
        <v>평일</v>
      </c>
      <c r="I592" s="125" t="str">
        <f t="shared" si="41"/>
        <v>2028-02</v>
      </c>
      <c r="J592" s="93" t="str">
        <f t="shared" si="38"/>
        <v>구민아</v>
      </c>
      <c r="K592" s="93" t="str">
        <f t="shared" si="39"/>
        <v>오기희</v>
      </c>
      <c r="L592" s="16" t="str">
        <f t="shared" si="40"/>
        <v>월</v>
      </c>
      <c r="M592" s="17" t="str">
        <f>IFERROR(VLOOKUP(B592,공휴일!B:C,2,0),"")</f>
        <v/>
      </c>
    </row>
    <row r="593" spans="2:13" x14ac:dyDescent="0.3">
      <c r="B593" s="142">
        <v>46812</v>
      </c>
      <c r="C593" s="143" t="s">
        <v>14</v>
      </c>
      <c r="D593" s="144"/>
      <c r="E593" s="143" t="s">
        <v>18</v>
      </c>
      <c r="F593" s="144"/>
      <c r="G593" s="147"/>
      <c r="H593" s="148" t="str">
        <f>IF(WORKDAY(B593-1,1,공휴일!$B$4:$B$24)=B593,IF(WORKDAY(B593,1,공휴일!$B$4:$B$24)&lt;&gt;B593+1,"금요일","평일"),IF(WORKDAY(B593,1,공휴일!$B$4:$B$24)&lt;&gt;B593+1,"토요일","일요일"))</f>
        <v>평일</v>
      </c>
      <c r="I593" s="125" t="str">
        <f t="shared" si="41"/>
        <v>2028-02</v>
      </c>
      <c r="J593" s="93" t="str">
        <f t="shared" si="38"/>
        <v>고석규</v>
      </c>
      <c r="K593" s="93" t="str">
        <f t="shared" si="39"/>
        <v>이승현</v>
      </c>
      <c r="L593" s="16" t="str">
        <f t="shared" si="40"/>
        <v>화</v>
      </c>
      <c r="M593" s="17" t="str">
        <f>IFERROR(VLOOKUP(B593,공휴일!B:C,2,0),"")</f>
        <v/>
      </c>
    </row>
    <row r="594" spans="2:13" x14ac:dyDescent="0.3">
      <c r="B594" s="142">
        <v>46813</v>
      </c>
      <c r="C594" s="143" t="s">
        <v>12</v>
      </c>
      <c r="D594" s="144"/>
      <c r="E594" s="143" t="s">
        <v>10</v>
      </c>
      <c r="F594" s="144"/>
      <c r="G594" s="147"/>
      <c r="H594" s="148" t="str">
        <f>IF(WORKDAY(B594-1,1,공휴일!$B$4:$B$24)=B594,IF(WORKDAY(B594,1,공휴일!$B$4:$B$24)&lt;&gt;B594+1,"금요일","평일"),IF(WORKDAY(B594,1,공휴일!$B$4:$B$24)&lt;&gt;B594+1,"토요일","일요일"))</f>
        <v>평일</v>
      </c>
      <c r="I594" s="125" t="str">
        <f t="shared" si="41"/>
        <v>2028-03</v>
      </c>
      <c r="J594" s="93" t="str">
        <f t="shared" si="38"/>
        <v>한문영</v>
      </c>
      <c r="K594" s="93" t="str">
        <f t="shared" si="39"/>
        <v>유진수</v>
      </c>
      <c r="L594" s="16" t="str">
        <f t="shared" si="40"/>
        <v>수</v>
      </c>
      <c r="M594" s="17" t="str">
        <f>IFERROR(VLOOKUP(B594,공휴일!B:C,2,0),"")</f>
        <v>삼일절</v>
      </c>
    </row>
    <row r="595" spans="2:13" x14ac:dyDescent="0.3">
      <c r="B595" s="142">
        <v>46814</v>
      </c>
      <c r="C595" s="143" t="s">
        <v>16</v>
      </c>
      <c r="D595" s="144"/>
      <c r="E595" s="143" t="s">
        <v>20</v>
      </c>
      <c r="F595" s="144"/>
      <c r="G595" s="147"/>
      <c r="H595" s="148" t="str">
        <f>IF(WORKDAY(B595-1,1,공휴일!$B$4:$B$24)=B595,IF(WORKDAY(B595,1,공휴일!$B$4:$B$24)&lt;&gt;B595+1,"금요일","평일"),IF(WORKDAY(B595,1,공휴일!$B$4:$B$24)&lt;&gt;B595+1,"토요일","일요일"))</f>
        <v>평일</v>
      </c>
      <c r="I595" s="125" t="str">
        <f t="shared" si="41"/>
        <v>2028-03</v>
      </c>
      <c r="J595" s="93" t="str">
        <f t="shared" si="38"/>
        <v>이현숙</v>
      </c>
      <c r="K595" s="93" t="str">
        <f t="shared" si="39"/>
        <v>이원철</v>
      </c>
      <c r="L595" s="16" t="str">
        <f t="shared" si="40"/>
        <v>목</v>
      </c>
      <c r="M595" s="17" t="str">
        <f>IFERROR(VLOOKUP(B595,공휴일!B:C,2,0),"")</f>
        <v/>
      </c>
    </row>
    <row r="596" spans="2:13" x14ac:dyDescent="0.3">
      <c r="B596" s="142">
        <v>46815</v>
      </c>
      <c r="C596" s="143" t="s">
        <v>13</v>
      </c>
      <c r="D596" s="144"/>
      <c r="E596" s="143" t="s">
        <v>21</v>
      </c>
      <c r="F596" s="144"/>
      <c r="G596" s="147"/>
      <c r="H596" s="148" t="str">
        <f>IF(WORKDAY(B596-1,1,공휴일!$B$4:$B$24)=B596,IF(WORKDAY(B596,1,공휴일!$B$4:$B$24)&lt;&gt;B596+1,"금요일","평일"),IF(WORKDAY(B596,1,공휴일!$B$4:$B$24)&lt;&gt;B596+1,"토요일","일요일"))</f>
        <v>금요일</v>
      </c>
      <c r="I596" s="125" t="str">
        <f t="shared" si="41"/>
        <v>2028-03</v>
      </c>
      <c r="J596" s="93" t="str">
        <f t="shared" si="38"/>
        <v>안지영</v>
      </c>
      <c r="K596" s="93" t="str">
        <f t="shared" si="39"/>
        <v>정찬웅</v>
      </c>
      <c r="L596" s="16" t="str">
        <f t="shared" si="40"/>
        <v>금</v>
      </c>
      <c r="M596" s="17" t="str">
        <f>IFERROR(VLOOKUP(B596,공휴일!B:C,2,0),"")</f>
        <v/>
      </c>
    </row>
    <row r="597" spans="2:13" x14ac:dyDescent="0.3">
      <c r="B597" s="142">
        <v>46816</v>
      </c>
      <c r="C597" s="143" t="s">
        <v>41</v>
      </c>
      <c r="D597" s="144"/>
      <c r="E597" s="143" t="s">
        <v>22</v>
      </c>
      <c r="F597" s="144"/>
      <c r="G597" s="147"/>
      <c r="H597" s="148" t="str">
        <f>IF(WORKDAY(B597-1,1,공휴일!$B$4:$B$24)=B597,IF(WORKDAY(B597,1,공휴일!$B$4:$B$24)&lt;&gt;B597+1,"금요일","평일"),IF(WORKDAY(B597,1,공휴일!$B$4:$B$24)&lt;&gt;B597+1,"토요일","일요일"))</f>
        <v>토요일</v>
      </c>
      <c r="I597" s="125" t="str">
        <f t="shared" si="41"/>
        <v>2028-03</v>
      </c>
      <c r="J597" s="93" t="str">
        <f t="shared" si="38"/>
        <v>송남철</v>
      </c>
      <c r="K597" s="93" t="str">
        <f t="shared" si="39"/>
        <v>서진호</v>
      </c>
      <c r="L597" s="16" t="str">
        <f t="shared" si="40"/>
        <v>토</v>
      </c>
      <c r="M597" s="17" t="str">
        <f>IFERROR(VLOOKUP(B597,공휴일!B:C,2,0),"")</f>
        <v/>
      </c>
    </row>
    <row r="598" spans="2:13" x14ac:dyDescent="0.3">
      <c r="B598" s="142">
        <v>46817</v>
      </c>
      <c r="C598" s="143" t="s">
        <v>17</v>
      </c>
      <c r="D598" s="144"/>
      <c r="E598" s="143" t="s">
        <v>11</v>
      </c>
      <c r="F598" s="144"/>
      <c r="G598" s="147"/>
      <c r="H598" s="148" t="str">
        <f>IF(WORKDAY(B598-1,1,공휴일!$B$4:$B$24)=B598,IF(WORKDAY(B598,1,공휴일!$B$4:$B$24)&lt;&gt;B598+1,"금요일","평일"),IF(WORKDAY(B598,1,공휴일!$B$4:$B$24)&lt;&gt;B598+1,"토요일","일요일"))</f>
        <v>일요일</v>
      </c>
      <c r="I598" s="125" t="str">
        <f t="shared" si="41"/>
        <v>2028-03</v>
      </c>
      <c r="J598" s="93" t="str">
        <f t="shared" si="38"/>
        <v>신혜원</v>
      </c>
      <c r="K598" s="93" t="str">
        <f t="shared" si="39"/>
        <v>장민우</v>
      </c>
      <c r="L598" s="16" t="str">
        <f t="shared" si="40"/>
        <v>일</v>
      </c>
      <c r="M598" s="17" t="str">
        <f>IFERROR(VLOOKUP(B598,공휴일!B:C,2,0),"")</f>
        <v/>
      </c>
    </row>
    <row r="599" spans="2:13" x14ac:dyDescent="0.3">
      <c r="B599" s="142">
        <v>46818</v>
      </c>
      <c r="C599" s="143" t="s">
        <v>40</v>
      </c>
      <c r="D599" s="144"/>
      <c r="E599" s="143" t="s">
        <v>19</v>
      </c>
      <c r="F599" s="144"/>
      <c r="G599" s="147"/>
      <c r="H599" s="148" t="str">
        <f>IF(WORKDAY(B599-1,1,공휴일!$B$4:$B$24)=B599,IF(WORKDAY(B599,1,공휴일!$B$4:$B$24)&lt;&gt;B599+1,"금요일","평일"),IF(WORKDAY(B599,1,공휴일!$B$4:$B$24)&lt;&gt;B599+1,"토요일","일요일"))</f>
        <v>평일</v>
      </c>
      <c r="I599" s="125" t="str">
        <f t="shared" si="41"/>
        <v>2028-03</v>
      </c>
      <c r="J599" s="93" t="str">
        <f t="shared" si="38"/>
        <v>여철호</v>
      </c>
      <c r="K599" s="93" t="str">
        <f t="shared" si="39"/>
        <v>우정수</v>
      </c>
      <c r="L599" s="16" t="str">
        <f t="shared" si="40"/>
        <v>월</v>
      </c>
      <c r="M599" s="17" t="str">
        <f>IFERROR(VLOOKUP(B599,공휴일!B:C,2,0),"")</f>
        <v/>
      </c>
    </row>
    <row r="600" spans="2:13" x14ac:dyDescent="0.3">
      <c r="B600" s="142">
        <v>46819</v>
      </c>
      <c r="C600" s="143" t="s">
        <v>15</v>
      </c>
      <c r="D600" s="144"/>
      <c r="E600" s="143" t="s">
        <v>44</v>
      </c>
      <c r="F600" s="144"/>
      <c r="G600" s="147"/>
      <c r="H600" s="148" t="str">
        <f>IF(WORKDAY(B600-1,1,공휴일!$B$4:$B$24)=B600,IF(WORKDAY(B600,1,공휴일!$B$4:$B$24)&lt;&gt;B600+1,"금요일","평일"),IF(WORKDAY(B600,1,공휴일!$B$4:$B$24)&lt;&gt;B600+1,"토요일","일요일"))</f>
        <v>평일</v>
      </c>
      <c r="I600" s="125" t="str">
        <f t="shared" si="41"/>
        <v>2028-03</v>
      </c>
      <c r="J600" s="93" t="str">
        <f t="shared" si="38"/>
        <v>구민아</v>
      </c>
      <c r="K600" s="93" t="str">
        <f t="shared" si="39"/>
        <v>오기희</v>
      </c>
      <c r="L600" s="16" t="str">
        <f t="shared" si="40"/>
        <v>화</v>
      </c>
      <c r="M600" s="17" t="str">
        <f>IFERROR(VLOOKUP(B600,공휴일!B:C,2,0),"")</f>
        <v/>
      </c>
    </row>
    <row r="601" spans="2:13" x14ac:dyDescent="0.3">
      <c r="B601" s="142">
        <v>46820</v>
      </c>
      <c r="C601" s="143" t="s">
        <v>14</v>
      </c>
      <c r="D601" s="144"/>
      <c r="E601" s="143" t="s">
        <v>18</v>
      </c>
      <c r="F601" s="144"/>
      <c r="G601" s="147"/>
      <c r="H601" s="148" t="str">
        <f>IF(WORKDAY(B601-1,1,공휴일!$B$4:$B$24)=B601,IF(WORKDAY(B601,1,공휴일!$B$4:$B$24)&lt;&gt;B601+1,"금요일","평일"),IF(WORKDAY(B601,1,공휴일!$B$4:$B$24)&lt;&gt;B601+1,"토요일","일요일"))</f>
        <v>평일</v>
      </c>
      <c r="I601" s="125" t="str">
        <f t="shared" si="41"/>
        <v>2028-03</v>
      </c>
      <c r="J601" s="93" t="str">
        <f t="shared" si="38"/>
        <v>고석규</v>
      </c>
      <c r="K601" s="93" t="str">
        <f t="shared" si="39"/>
        <v>이승현</v>
      </c>
      <c r="L601" s="16" t="str">
        <f t="shared" si="40"/>
        <v>수</v>
      </c>
      <c r="M601" s="17" t="str">
        <f>IFERROR(VLOOKUP(B601,공휴일!B:C,2,0),"")</f>
        <v/>
      </c>
    </row>
    <row r="602" spans="2:13" x14ac:dyDescent="0.3">
      <c r="B602" s="142">
        <v>46821</v>
      </c>
      <c r="C602" s="143" t="s">
        <v>12</v>
      </c>
      <c r="D602" s="144"/>
      <c r="E602" s="143" t="s">
        <v>10</v>
      </c>
      <c r="F602" s="144"/>
      <c r="G602" s="147"/>
      <c r="H602" s="148" t="str">
        <f>IF(WORKDAY(B602-1,1,공휴일!$B$4:$B$24)=B602,IF(WORKDAY(B602,1,공휴일!$B$4:$B$24)&lt;&gt;B602+1,"금요일","평일"),IF(WORKDAY(B602,1,공휴일!$B$4:$B$24)&lt;&gt;B602+1,"토요일","일요일"))</f>
        <v>평일</v>
      </c>
      <c r="I602" s="125" t="str">
        <f t="shared" si="41"/>
        <v>2028-03</v>
      </c>
      <c r="J602" s="93" t="str">
        <f t="shared" si="38"/>
        <v>한문영</v>
      </c>
      <c r="K602" s="93" t="str">
        <f t="shared" si="39"/>
        <v>유진수</v>
      </c>
      <c r="L602" s="16" t="str">
        <f t="shared" si="40"/>
        <v>목</v>
      </c>
      <c r="M602" s="17" t="str">
        <f>IFERROR(VLOOKUP(B602,공휴일!B:C,2,0),"")</f>
        <v/>
      </c>
    </row>
    <row r="603" spans="2:13" x14ac:dyDescent="0.3">
      <c r="B603" s="142">
        <v>46822</v>
      </c>
      <c r="C603" s="143" t="s">
        <v>16</v>
      </c>
      <c r="D603" s="144"/>
      <c r="E603" s="143" t="s">
        <v>20</v>
      </c>
      <c r="F603" s="144"/>
      <c r="G603" s="147"/>
      <c r="H603" s="148" t="str">
        <f>IF(WORKDAY(B603-1,1,공휴일!$B$4:$B$24)=B603,IF(WORKDAY(B603,1,공휴일!$B$4:$B$24)&lt;&gt;B603+1,"금요일","평일"),IF(WORKDAY(B603,1,공휴일!$B$4:$B$24)&lt;&gt;B603+1,"토요일","일요일"))</f>
        <v>금요일</v>
      </c>
      <c r="I603" s="125" t="str">
        <f t="shared" si="41"/>
        <v>2028-03</v>
      </c>
      <c r="J603" s="93" t="str">
        <f t="shared" si="38"/>
        <v>이현숙</v>
      </c>
      <c r="K603" s="93" t="str">
        <f t="shared" si="39"/>
        <v>이원철</v>
      </c>
      <c r="L603" s="16" t="str">
        <f t="shared" si="40"/>
        <v>금</v>
      </c>
      <c r="M603" s="17" t="str">
        <f>IFERROR(VLOOKUP(B603,공휴일!B:C,2,0),"")</f>
        <v/>
      </c>
    </row>
    <row r="604" spans="2:13" x14ac:dyDescent="0.3">
      <c r="B604" s="142">
        <v>46823</v>
      </c>
      <c r="C604" s="143" t="s">
        <v>13</v>
      </c>
      <c r="D604" s="144"/>
      <c r="E604" s="143" t="s">
        <v>21</v>
      </c>
      <c r="F604" s="144"/>
      <c r="G604" s="147"/>
      <c r="H604" s="148" t="str">
        <f>IF(WORKDAY(B604-1,1,공휴일!$B$4:$B$24)=B604,IF(WORKDAY(B604,1,공휴일!$B$4:$B$24)&lt;&gt;B604+1,"금요일","평일"),IF(WORKDAY(B604,1,공휴일!$B$4:$B$24)&lt;&gt;B604+1,"토요일","일요일"))</f>
        <v>토요일</v>
      </c>
      <c r="I604" s="125" t="str">
        <f t="shared" si="41"/>
        <v>2028-03</v>
      </c>
      <c r="J604" s="93" t="str">
        <f t="shared" si="38"/>
        <v>안지영</v>
      </c>
      <c r="K604" s="93" t="str">
        <f t="shared" si="39"/>
        <v>정찬웅</v>
      </c>
      <c r="L604" s="16" t="str">
        <f t="shared" si="40"/>
        <v>토</v>
      </c>
      <c r="M604" s="17" t="str">
        <f>IFERROR(VLOOKUP(B604,공휴일!B:C,2,0),"")</f>
        <v/>
      </c>
    </row>
    <row r="605" spans="2:13" x14ac:dyDescent="0.3">
      <c r="B605" s="142">
        <v>46824</v>
      </c>
      <c r="C605" s="143" t="s">
        <v>41</v>
      </c>
      <c r="D605" s="144"/>
      <c r="E605" s="143" t="s">
        <v>22</v>
      </c>
      <c r="F605" s="144"/>
      <c r="G605" s="147"/>
      <c r="H605" s="148" t="str">
        <f>IF(WORKDAY(B605-1,1,공휴일!$B$4:$B$24)=B605,IF(WORKDAY(B605,1,공휴일!$B$4:$B$24)&lt;&gt;B605+1,"금요일","평일"),IF(WORKDAY(B605,1,공휴일!$B$4:$B$24)&lt;&gt;B605+1,"토요일","일요일"))</f>
        <v>일요일</v>
      </c>
      <c r="I605" s="125" t="str">
        <f t="shared" si="41"/>
        <v>2028-03</v>
      </c>
      <c r="J605" s="93" t="str">
        <f t="shared" si="38"/>
        <v>송남철</v>
      </c>
      <c r="K605" s="93" t="str">
        <f t="shared" si="39"/>
        <v>서진호</v>
      </c>
      <c r="L605" s="16" t="str">
        <f t="shared" si="40"/>
        <v>일</v>
      </c>
      <c r="M605" s="17" t="str">
        <f>IFERROR(VLOOKUP(B605,공휴일!B:C,2,0),"")</f>
        <v/>
      </c>
    </row>
    <row r="606" spans="2:13" x14ac:dyDescent="0.3">
      <c r="B606" s="142">
        <v>46825</v>
      </c>
      <c r="C606" s="143" t="s">
        <v>17</v>
      </c>
      <c r="D606" s="144"/>
      <c r="E606" s="143" t="s">
        <v>11</v>
      </c>
      <c r="F606" s="144"/>
      <c r="G606" s="147"/>
      <c r="H606" s="148" t="str">
        <f>IF(WORKDAY(B606-1,1,공휴일!$B$4:$B$24)=B606,IF(WORKDAY(B606,1,공휴일!$B$4:$B$24)&lt;&gt;B606+1,"금요일","평일"),IF(WORKDAY(B606,1,공휴일!$B$4:$B$24)&lt;&gt;B606+1,"토요일","일요일"))</f>
        <v>평일</v>
      </c>
      <c r="I606" s="125" t="str">
        <f t="shared" si="41"/>
        <v>2028-03</v>
      </c>
      <c r="J606" s="93" t="str">
        <f t="shared" si="38"/>
        <v>신혜원</v>
      </c>
      <c r="K606" s="93" t="str">
        <f t="shared" si="39"/>
        <v>장민우</v>
      </c>
      <c r="L606" s="16" t="str">
        <f t="shared" si="40"/>
        <v>월</v>
      </c>
      <c r="M606" s="17" t="str">
        <f>IFERROR(VLOOKUP(B606,공휴일!B:C,2,0),"")</f>
        <v/>
      </c>
    </row>
    <row r="607" spans="2:13" x14ac:dyDescent="0.3">
      <c r="B607" s="142">
        <v>46826</v>
      </c>
      <c r="C607" s="143" t="s">
        <v>40</v>
      </c>
      <c r="D607" s="144"/>
      <c r="E607" s="143" t="s">
        <v>19</v>
      </c>
      <c r="F607" s="144"/>
      <c r="G607" s="147"/>
      <c r="H607" s="148" t="str">
        <f>IF(WORKDAY(B607-1,1,공휴일!$B$4:$B$24)=B607,IF(WORKDAY(B607,1,공휴일!$B$4:$B$24)&lt;&gt;B607+1,"금요일","평일"),IF(WORKDAY(B607,1,공휴일!$B$4:$B$24)&lt;&gt;B607+1,"토요일","일요일"))</f>
        <v>평일</v>
      </c>
      <c r="I607" s="125" t="str">
        <f t="shared" si="41"/>
        <v>2028-03</v>
      </c>
      <c r="J607" s="93" t="str">
        <f t="shared" si="38"/>
        <v>여철호</v>
      </c>
      <c r="K607" s="93" t="str">
        <f t="shared" si="39"/>
        <v>우정수</v>
      </c>
      <c r="L607" s="16" t="str">
        <f t="shared" si="40"/>
        <v>화</v>
      </c>
      <c r="M607" s="17" t="str">
        <f>IFERROR(VLOOKUP(B607,공휴일!B:C,2,0),"")</f>
        <v/>
      </c>
    </row>
    <row r="608" spans="2:13" x14ac:dyDescent="0.3">
      <c r="B608" s="142">
        <v>46827</v>
      </c>
      <c r="C608" s="143" t="s">
        <v>15</v>
      </c>
      <c r="D608" s="144"/>
      <c r="E608" s="143" t="s">
        <v>44</v>
      </c>
      <c r="F608" s="144"/>
      <c r="G608" s="147"/>
      <c r="H608" s="148" t="str">
        <f>IF(WORKDAY(B608-1,1,공휴일!$B$4:$B$24)=B608,IF(WORKDAY(B608,1,공휴일!$B$4:$B$24)&lt;&gt;B608+1,"금요일","평일"),IF(WORKDAY(B608,1,공휴일!$B$4:$B$24)&lt;&gt;B608+1,"토요일","일요일"))</f>
        <v>평일</v>
      </c>
      <c r="I608" s="125" t="str">
        <f t="shared" si="41"/>
        <v>2028-03</v>
      </c>
      <c r="J608" s="93" t="str">
        <f t="shared" si="38"/>
        <v>구민아</v>
      </c>
      <c r="K608" s="93" t="str">
        <f t="shared" si="39"/>
        <v>오기희</v>
      </c>
      <c r="L608" s="16" t="str">
        <f t="shared" si="40"/>
        <v>수</v>
      </c>
      <c r="M608" s="17" t="str">
        <f>IFERROR(VLOOKUP(B608,공휴일!B:C,2,0),"")</f>
        <v/>
      </c>
    </row>
    <row r="609" spans="2:13" x14ac:dyDescent="0.3">
      <c r="B609" s="142">
        <v>46828</v>
      </c>
      <c r="C609" s="143" t="s">
        <v>14</v>
      </c>
      <c r="D609" s="144"/>
      <c r="E609" s="143" t="s">
        <v>18</v>
      </c>
      <c r="F609" s="144"/>
      <c r="G609" s="147"/>
      <c r="H609" s="148" t="str">
        <f>IF(WORKDAY(B609-1,1,공휴일!$B$4:$B$24)=B609,IF(WORKDAY(B609,1,공휴일!$B$4:$B$24)&lt;&gt;B609+1,"금요일","평일"),IF(WORKDAY(B609,1,공휴일!$B$4:$B$24)&lt;&gt;B609+1,"토요일","일요일"))</f>
        <v>평일</v>
      </c>
      <c r="I609" s="125" t="str">
        <f t="shared" si="41"/>
        <v>2028-03</v>
      </c>
      <c r="J609" s="93" t="str">
        <f t="shared" si="38"/>
        <v>고석규</v>
      </c>
      <c r="K609" s="93" t="str">
        <f t="shared" si="39"/>
        <v>이승현</v>
      </c>
      <c r="L609" s="16" t="str">
        <f t="shared" si="40"/>
        <v>목</v>
      </c>
      <c r="M609" s="17" t="str">
        <f>IFERROR(VLOOKUP(B609,공휴일!B:C,2,0),"")</f>
        <v/>
      </c>
    </row>
    <row r="610" spans="2:13" x14ac:dyDescent="0.3">
      <c r="B610" s="142">
        <v>46829</v>
      </c>
      <c r="C610" s="143" t="s">
        <v>12</v>
      </c>
      <c r="D610" s="144"/>
      <c r="E610" s="143" t="s">
        <v>10</v>
      </c>
      <c r="F610" s="144"/>
      <c r="G610" s="147"/>
      <c r="H610" s="148" t="str">
        <f>IF(WORKDAY(B610-1,1,공휴일!$B$4:$B$24)=B610,IF(WORKDAY(B610,1,공휴일!$B$4:$B$24)&lt;&gt;B610+1,"금요일","평일"),IF(WORKDAY(B610,1,공휴일!$B$4:$B$24)&lt;&gt;B610+1,"토요일","일요일"))</f>
        <v>금요일</v>
      </c>
      <c r="I610" s="125" t="str">
        <f t="shared" si="41"/>
        <v>2028-03</v>
      </c>
      <c r="J610" s="93" t="str">
        <f t="shared" si="38"/>
        <v>한문영</v>
      </c>
      <c r="K610" s="93" t="str">
        <f t="shared" si="39"/>
        <v>유진수</v>
      </c>
      <c r="L610" s="16" t="str">
        <f t="shared" si="40"/>
        <v>금</v>
      </c>
      <c r="M610" s="17" t="str">
        <f>IFERROR(VLOOKUP(B610,공휴일!B:C,2,0),"")</f>
        <v/>
      </c>
    </row>
    <row r="611" spans="2:13" x14ac:dyDescent="0.3">
      <c r="B611" s="142">
        <v>46830</v>
      </c>
      <c r="C611" s="143" t="s">
        <v>16</v>
      </c>
      <c r="D611" s="144"/>
      <c r="E611" s="143" t="s">
        <v>20</v>
      </c>
      <c r="F611" s="144"/>
      <c r="G611" s="147"/>
      <c r="H611" s="148" t="str">
        <f>IF(WORKDAY(B611-1,1,공휴일!$B$4:$B$24)=B611,IF(WORKDAY(B611,1,공휴일!$B$4:$B$24)&lt;&gt;B611+1,"금요일","평일"),IF(WORKDAY(B611,1,공휴일!$B$4:$B$24)&lt;&gt;B611+1,"토요일","일요일"))</f>
        <v>토요일</v>
      </c>
      <c r="I611" s="125" t="str">
        <f t="shared" si="41"/>
        <v>2028-03</v>
      </c>
      <c r="J611" s="93" t="str">
        <f t="shared" si="38"/>
        <v>이현숙</v>
      </c>
      <c r="K611" s="93" t="str">
        <f t="shared" si="39"/>
        <v>이원철</v>
      </c>
      <c r="L611" s="16" t="str">
        <f t="shared" si="40"/>
        <v>토</v>
      </c>
      <c r="M611" s="17" t="str">
        <f>IFERROR(VLOOKUP(B611,공휴일!B:C,2,0),"")</f>
        <v/>
      </c>
    </row>
    <row r="612" spans="2:13" x14ac:dyDescent="0.3">
      <c r="B612" s="142">
        <v>46831</v>
      </c>
      <c r="C612" s="143" t="s">
        <v>13</v>
      </c>
      <c r="D612" s="144"/>
      <c r="E612" s="143" t="s">
        <v>21</v>
      </c>
      <c r="F612" s="144"/>
      <c r="G612" s="147"/>
      <c r="H612" s="148" t="str">
        <f>IF(WORKDAY(B612-1,1,공휴일!$B$4:$B$24)=B612,IF(WORKDAY(B612,1,공휴일!$B$4:$B$24)&lt;&gt;B612+1,"금요일","평일"),IF(WORKDAY(B612,1,공휴일!$B$4:$B$24)&lt;&gt;B612+1,"토요일","일요일"))</f>
        <v>일요일</v>
      </c>
      <c r="I612" s="125" t="str">
        <f t="shared" si="41"/>
        <v>2028-03</v>
      </c>
      <c r="J612" s="93" t="str">
        <f t="shared" si="38"/>
        <v>안지영</v>
      </c>
      <c r="K612" s="93" t="str">
        <f t="shared" si="39"/>
        <v>정찬웅</v>
      </c>
      <c r="L612" s="16" t="str">
        <f t="shared" si="40"/>
        <v>일</v>
      </c>
      <c r="M612" s="17" t="str">
        <f>IFERROR(VLOOKUP(B612,공휴일!B:C,2,0),"")</f>
        <v/>
      </c>
    </row>
    <row r="613" spans="2:13" x14ac:dyDescent="0.3">
      <c r="B613" s="142">
        <v>46832</v>
      </c>
      <c r="C613" s="143" t="s">
        <v>41</v>
      </c>
      <c r="D613" s="144"/>
      <c r="E613" s="143" t="s">
        <v>22</v>
      </c>
      <c r="F613" s="144"/>
      <c r="G613" s="147"/>
      <c r="H613" s="148" t="str">
        <f>IF(WORKDAY(B613-1,1,공휴일!$B$4:$B$24)=B613,IF(WORKDAY(B613,1,공휴일!$B$4:$B$24)&lt;&gt;B613+1,"금요일","평일"),IF(WORKDAY(B613,1,공휴일!$B$4:$B$24)&lt;&gt;B613+1,"토요일","일요일"))</f>
        <v>평일</v>
      </c>
      <c r="I613" s="125" t="str">
        <f t="shared" si="41"/>
        <v>2028-03</v>
      </c>
      <c r="J613" s="93" t="str">
        <f t="shared" si="38"/>
        <v>송남철</v>
      </c>
      <c r="K613" s="93" t="str">
        <f t="shared" si="39"/>
        <v>서진호</v>
      </c>
      <c r="L613" s="16" t="str">
        <f t="shared" si="40"/>
        <v>월</v>
      </c>
      <c r="M613" s="17" t="str">
        <f>IFERROR(VLOOKUP(B613,공휴일!B:C,2,0),"")</f>
        <v/>
      </c>
    </row>
    <row r="614" spans="2:13" x14ac:dyDescent="0.3">
      <c r="B614" s="142">
        <v>46833</v>
      </c>
      <c r="C614" s="143" t="s">
        <v>17</v>
      </c>
      <c r="D614" s="144"/>
      <c r="E614" s="143" t="s">
        <v>11</v>
      </c>
      <c r="F614" s="144"/>
      <c r="G614" s="147"/>
      <c r="H614" s="148" t="str">
        <f>IF(WORKDAY(B614-1,1,공휴일!$B$4:$B$24)=B614,IF(WORKDAY(B614,1,공휴일!$B$4:$B$24)&lt;&gt;B614+1,"금요일","평일"),IF(WORKDAY(B614,1,공휴일!$B$4:$B$24)&lt;&gt;B614+1,"토요일","일요일"))</f>
        <v>평일</v>
      </c>
      <c r="I614" s="125" t="str">
        <f t="shared" si="41"/>
        <v>2028-03</v>
      </c>
      <c r="J614" s="93" t="str">
        <f t="shared" si="38"/>
        <v>신혜원</v>
      </c>
      <c r="K614" s="93" t="str">
        <f t="shared" si="39"/>
        <v>장민우</v>
      </c>
      <c r="L614" s="16" t="str">
        <f t="shared" si="40"/>
        <v>화</v>
      </c>
      <c r="M614" s="17" t="str">
        <f>IFERROR(VLOOKUP(B614,공휴일!B:C,2,0),"")</f>
        <v/>
      </c>
    </row>
    <row r="615" spans="2:13" x14ac:dyDescent="0.3">
      <c r="B615" s="142">
        <v>46834</v>
      </c>
      <c r="C615" s="143" t="s">
        <v>40</v>
      </c>
      <c r="D615" s="144"/>
      <c r="E615" s="143" t="s">
        <v>19</v>
      </c>
      <c r="F615" s="144"/>
      <c r="G615" s="147"/>
      <c r="H615" s="148" t="str">
        <f>IF(WORKDAY(B615-1,1,공휴일!$B$4:$B$24)=B615,IF(WORKDAY(B615,1,공휴일!$B$4:$B$24)&lt;&gt;B615+1,"금요일","평일"),IF(WORKDAY(B615,1,공휴일!$B$4:$B$24)&lt;&gt;B615+1,"토요일","일요일"))</f>
        <v>평일</v>
      </c>
      <c r="I615" s="125" t="str">
        <f t="shared" si="41"/>
        <v>2028-03</v>
      </c>
      <c r="J615" s="93" t="str">
        <f t="shared" si="38"/>
        <v>여철호</v>
      </c>
      <c r="K615" s="93" t="str">
        <f t="shared" si="39"/>
        <v>우정수</v>
      </c>
      <c r="L615" s="16" t="str">
        <f t="shared" si="40"/>
        <v>수</v>
      </c>
      <c r="M615" s="17" t="str">
        <f>IFERROR(VLOOKUP(B615,공휴일!B:C,2,0),"")</f>
        <v/>
      </c>
    </row>
    <row r="616" spans="2:13" x14ac:dyDescent="0.3">
      <c r="B616" s="142">
        <v>46835</v>
      </c>
      <c r="C616" s="143" t="s">
        <v>15</v>
      </c>
      <c r="D616" s="144"/>
      <c r="E616" s="143" t="s">
        <v>44</v>
      </c>
      <c r="F616" s="144"/>
      <c r="G616" s="147"/>
      <c r="H616" s="148" t="str">
        <f>IF(WORKDAY(B616-1,1,공휴일!$B$4:$B$24)=B616,IF(WORKDAY(B616,1,공휴일!$B$4:$B$24)&lt;&gt;B616+1,"금요일","평일"),IF(WORKDAY(B616,1,공휴일!$B$4:$B$24)&lt;&gt;B616+1,"토요일","일요일"))</f>
        <v>평일</v>
      </c>
      <c r="I616" s="125" t="str">
        <f t="shared" si="41"/>
        <v>2028-03</v>
      </c>
      <c r="J616" s="93" t="str">
        <f t="shared" si="38"/>
        <v>구민아</v>
      </c>
      <c r="K616" s="93" t="str">
        <f t="shared" si="39"/>
        <v>오기희</v>
      </c>
      <c r="L616" s="16" t="str">
        <f t="shared" si="40"/>
        <v>목</v>
      </c>
      <c r="M616" s="17" t="str">
        <f>IFERROR(VLOOKUP(B616,공휴일!B:C,2,0),"")</f>
        <v/>
      </c>
    </row>
    <row r="617" spans="2:13" x14ac:dyDescent="0.3">
      <c r="B617" s="142">
        <v>46836</v>
      </c>
      <c r="C617" s="143" t="s">
        <v>14</v>
      </c>
      <c r="D617" s="144"/>
      <c r="E617" s="143" t="s">
        <v>18</v>
      </c>
      <c r="F617" s="144"/>
      <c r="G617" s="147"/>
      <c r="H617" s="148" t="str">
        <f>IF(WORKDAY(B617-1,1,공휴일!$B$4:$B$24)=B617,IF(WORKDAY(B617,1,공휴일!$B$4:$B$24)&lt;&gt;B617+1,"금요일","평일"),IF(WORKDAY(B617,1,공휴일!$B$4:$B$24)&lt;&gt;B617+1,"토요일","일요일"))</f>
        <v>금요일</v>
      </c>
      <c r="I617" s="125" t="str">
        <f t="shared" si="41"/>
        <v>2028-03</v>
      </c>
      <c r="J617" s="93" t="str">
        <f t="shared" ref="J617:J680" si="42">IF(D617="",C617,D617)</f>
        <v>고석규</v>
      </c>
      <c r="K617" s="93" t="str">
        <f t="shared" ref="K617:K680" si="43">IF(F617="",E617,F617)</f>
        <v>이승현</v>
      </c>
      <c r="L617" s="16" t="str">
        <f t="shared" ref="L617:L680" si="44">TEXT(B617,"aaa")</f>
        <v>금</v>
      </c>
      <c r="M617" s="17" t="str">
        <f>IFERROR(VLOOKUP(B617,공휴일!B:C,2,0),"")</f>
        <v/>
      </c>
    </row>
    <row r="618" spans="2:13" x14ac:dyDescent="0.3">
      <c r="B618" s="142">
        <v>46837</v>
      </c>
      <c r="C618" s="143" t="s">
        <v>12</v>
      </c>
      <c r="D618" s="144"/>
      <c r="E618" s="143" t="s">
        <v>10</v>
      </c>
      <c r="F618" s="144"/>
      <c r="G618" s="147"/>
      <c r="H618" s="148" t="str">
        <f>IF(WORKDAY(B618-1,1,공휴일!$B$4:$B$24)=B618,IF(WORKDAY(B618,1,공휴일!$B$4:$B$24)&lt;&gt;B618+1,"금요일","평일"),IF(WORKDAY(B618,1,공휴일!$B$4:$B$24)&lt;&gt;B618+1,"토요일","일요일"))</f>
        <v>토요일</v>
      </c>
      <c r="I618" s="125" t="str">
        <f t="shared" si="41"/>
        <v>2028-03</v>
      </c>
      <c r="J618" s="93" t="str">
        <f t="shared" si="42"/>
        <v>한문영</v>
      </c>
      <c r="K618" s="93" t="str">
        <f t="shared" si="43"/>
        <v>유진수</v>
      </c>
      <c r="L618" s="16" t="str">
        <f t="shared" si="44"/>
        <v>토</v>
      </c>
      <c r="M618" s="17" t="str">
        <f>IFERROR(VLOOKUP(B618,공휴일!B:C,2,0),"")</f>
        <v/>
      </c>
    </row>
    <row r="619" spans="2:13" x14ac:dyDescent="0.3">
      <c r="B619" s="142">
        <v>46838</v>
      </c>
      <c r="C619" s="143" t="s">
        <v>16</v>
      </c>
      <c r="D619" s="144"/>
      <c r="E619" s="143" t="s">
        <v>20</v>
      </c>
      <c r="F619" s="144"/>
      <c r="G619" s="147"/>
      <c r="H619" s="148" t="str">
        <f>IF(WORKDAY(B619-1,1,공휴일!$B$4:$B$24)=B619,IF(WORKDAY(B619,1,공휴일!$B$4:$B$24)&lt;&gt;B619+1,"금요일","평일"),IF(WORKDAY(B619,1,공휴일!$B$4:$B$24)&lt;&gt;B619+1,"토요일","일요일"))</f>
        <v>일요일</v>
      </c>
      <c r="I619" s="125" t="str">
        <f t="shared" si="41"/>
        <v>2028-03</v>
      </c>
      <c r="J619" s="93" t="str">
        <f t="shared" si="42"/>
        <v>이현숙</v>
      </c>
      <c r="K619" s="93" t="str">
        <f t="shared" si="43"/>
        <v>이원철</v>
      </c>
      <c r="L619" s="16" t="str">
        <f t="shared" si="44"/>
        <v>일</v>
      </c>
      <c r="M619" s="17" t="str">
        <f>IFERROR(VLOOKUP(B619,공휴일!B:C,2,0),"")</f>
        <v/>
      </c>
    </row>
    <row r="620" spans="2:13" x14ac:dyDescent="0.3">
      <c r="B620" s="142">
        <v>46839</v>
      </c>
      <c r="C620" s="143" t="s">
        <v>13</v>
      </c>
      <c r="D620" s="144"/>
      <c r="E620" s="143" t="s">
        <v>21</v>
      </c>
      <c r="F620" s="144"/>
      <c r="G620" s="147"/>
      <c r="H620" s="148" t="str">
        <f>IF(WORKDAY(B620-1,1,공휴일!$B$4:$B$24)=B620,IF(WORKDAY(B620,1,공휴일!$B$4:$B$24)&lt;&gt;B620+1,"금요일","평일"),IF(WORKDAY(B620,1,공휴일!$B$4:$B$24)&lt;&gt;B620+1,"토요일","일요일"))</f>
        <v>평일</v>
      </c>
      <c r="I620" s="125" t="str">
        <f t="shared" si="41"/>
        <v>2028-03</v>
      </c>
      <c r="J620" s="93" t="str">
        <f t="shared" si="42"/>
        <v>안지영</v>
      </c>
      <c r="K620" s="93" t="str">
        <f t="shared" si="43"/>
        <v>정찬웅</v>
      </c>
      <c r="L620" s="16" t="str">
        <f t="shared" si="44"/>
        <v>월</v>
      </c>
      <c r="M620" s="17" t="str">
        <f>IFERROR(VLOOKUP(B620,공휴일!B:C,2,0),"")</f>
        <v/>
      </c>
    </row>
    <row r="621" spans="2:13" x14ac:dyDescent="0.3">
      <c r="B621" s="142">
        <v>46840</v>
      </c>
      <c r="C621" s="143" t="s">
        <v>41</v>
      </c>
      <c r="D621" s="144"/>
      <c r="E621" s="143" t="s">
        <v>22</v>
      </c>
      <c r="F621" s="144"/>
      <c r="G621" s="147"/>
      <c r="H621" s="148" t="str">
        <f>IF(WORKDAY(B621-1,1,공휴일!$B$4:$B$24)=B621,IF(WORKDAY(B621,1,공휴일!$B$4:$B$24)&lt;&gt;B621+1,"금요일","평일"),IF(WORKDAY(B621,1,공휴일!$B$4:$B$24)&lt;&gt;B621+1,"토요일","일요일"))</f>
        <v>평일</v>
      </c>
      <c r="I621" s="125" t="str">
        <f t="shared" si="41"/>
        <v>2028-03</v>
      </c>
      <c r="J621" s="93" t="str">
        <f t="shared" si="42"/>
        <v>송남철</v>
      </c>
      <c r="K621" s="93" t="str">
        <f t="shared" si="43"/>
        <v>서진호</v>
      </c>
      <c r="L621" s="16" t="str">
        <f t="shared" si="44"/>
        <v>화</v>
      </c>
      <c r="M621" s="17" t="str">
        <f>IFERROR(VLOOKUP(B621,공휴일!B:C,2,0),"")</f>
        <v/>
      </c>
    </row>
    <row r="622" spans="2:13" x14ac:dyDescent="0.3">
      <c r="B622" s="142">
        <v>46841</v>
      </c>
      <c r="C622" s="143" t="s">
        <v>17</v>
      </c>
      <c r="D622" s="144"/>
      <c r="E622" s="143" t="s">
        <v>11</v>
      </c>
      <c r="F622" s="144"/>
      <c r="G622" s="147"/>
      <c r="H622" s="148" t="str">
        <f>IF(WORKDAY(B622-1,1,공휴일!$B$4:$B$24)=B622,IF(WORKDAY(B622,1,공휴일!$B$4:$B$24)&lt;&gt;B622+1,"금요일","평일"),IF(WORKDAY(B622,1,공휴일!$B$4:$B$24)&lt;&gt;B622+1,"토요일","일요일"))</f>
        <v>평일</v>
      </c>
      <c r="I622" s="125" t="str">
        <f t="shared" si="41"/>
        <v>2028-03</v>
      </c>
      <c r="J622" s="93" t="str">
        <f t="shared" si="42"/>
        <v>신혜원</v>
      </c>
      <c r="K622" s="93" t="str">
        <f t="shared" si="43"/>
        <v>장민우</v>
      </c>
      <c r="L622" s="16" t="str">
        <f t="shared" si="44"/>
        <v>수</v>
      </c>
      <c r="M622" s="17" t="str">
        <f>IFERROR(VLOOKUP(B622,공휴일!B:C,2,0),"")</f>
        <v/>
      </c>
    </row>
    <row r="623" spans="2:13" x14ac:dyDescent="0.3">
      <c r="B623" s="142">
        <v>46842</v>
      </c>
      <c r="C623" s="143" t="s">
        <v>40</v>
      </c>
      <c r="D623" s="144"/>
      <c r="E623" s="143" t="s">
        <v>19</v>
      </c>
      <c r="F623" s="144"/>
      <c r="G623" s="147"/>
      <c r="H623" s="148" t="str">
        <f>IF(WORKDAY(B623-1,1,공휴일!$B$4:$B$24)=B623,IF(WORKDAY(B623,1,공휴일!$B$4:$B$24)&lt;&gt;B623+1,"금요일","평일"),IF(WORKDAY(B623,1,공휴일!$B$4:$B$24)&lt;&gt;B623+1,"토요일","일요일"))</f>
        <v>평일</v>
      </c>
      <c r="I623" s="125" t="str">
        <f t="shared" si="41"/>
        <v>2028-03</v>
      </c>
      <c r="J623" s="93" t="str">
        <f t="shared" si="42"/>
        <v>여철호</v>
      </c>
      <c r="K623" s="93" t="str">
        <f t="shared" si="43"/>
        <v>우정수</v>
      </c>
      <c r="L623" s="16" t="str">
        <f t="shared" si="44"/>
        <v>목</v>
      </c>
      <c r="M623" s="17" t="str">
        <f>IFERROR(VLOOKUP(B623,공휴일!B:C,2,0),"")</f>
        <v/>
      </c>
    </row>
    <row r="624" spans="2:13" x14ac:dyDescent="0.3">
      <c r="B624" s="142">
        <v>46843</v>
      </c>
      <c r="C624" s="143" t="s">
        <v>15</v>
      </c>
      <c r="D624" s="144"/>
      <c r="E624" s="143" t="s">
        <v>44</v>
      </c>
      <c r="F624" s="144"/>
      <c r="G624" s="147"/>
      <c r="H624" s="148" t="str">
        <f>IF(WORKDAY(B624-1,1,공휴일!$B$4:$B$24)=B624,IF(WORKDAY(B624,1,공휴일!$B$4:$B$24)&lt;&gt;B624+1,"금요일","평일"),IF(WORKDAY(B624,1,공휴일!$B$4:$B$24)&lt;&gt;B624+1,"토요일","일요일"))</f>
        <v>금요일</v>
      </c>
      <c r="I624" s="125" t="str">
        <f t="shared" si="41"/>
        <v>2028-03</v>
      </c>
      <c r="J624" s="93" t="str">
        <f t="shared" si="42"/>
        <v>구민아</v>
      </c>
      <c r="K624" s="93" t="str">
        <f t="shared" si="43"/>
        <v>오기희</v>
      </c>
      <c r="L624" s="16" t="str">
        <f t="shared" si="44"/>
        <v>금</v>
      </c>
      <c r="M624" s="17" t="str">
        <f>IFERROR(VLOOKUP(B624,공휴일!B:C,2,0),"")</f>
        <v/>
      </c>
    </row>
    <row r="625" spans="2:13" x14ac:dyDescent="0.3">
      <c r="B625" s="142">
        <v>46844</v>
      </c>
      <c r="C625" s="143" t="s">
        <v>14</v>
      </c>
      <c r="D625" s="144"/>
      <c r="E625" s="143" t="s">
        <v>18</v>
      </c>
      <c r="F625" s="144"/>
      <c r="G625" s="147"/>
      <c r="H625" s="148" t="str">
        <f>IF(WORKDAY(B625-1,1,공휴일!$B$4:$B$24)=B625,IF(WORKDAY(B625,1,공휴일!$B$4:$B$24)&lt;&gt;B625+1,"금요일","평일"),IF(WORKDAY(B625,1,공휴일!$B$4:$B$24)&lt;&gt;B625+1,"토요일","일요일"))</f>
        <v>토요일</v>
      </c>
      <c r="I625" s="125" t="str">
        <f t="shared" si="41"/>
        <v>2028-04</v>
      </c>
      <c r="J625" s="93" t="str">
        <f t="shared" si="42"/>
        <v>고석규</v>
      </c>
      <c r="K625" s="93" t="str">
        <f t="shared" si="43"/>
        <v>이승현</v>
      </c>
      <c r="L625" s="16" t="str">
        <f t="shared" si="44"/>
        <v>토</v>
      </c>
      <c r="M625" s="17" t="str">
        <f>IFERROR(VLOOKUP(B625,공휴일!B:C,2,0),"")</f>
        <v/>
      </c>
    </row>
    <row r="626" spans="2:13" x14ac:dyDescent="0.3">
      <c r="B626" s="142">
        <v>46845</v>
      </c>
      <c r="C626" s="143" t="s">
        <v>12</v>
      </c>
      <c r="D626" s="144"/>
      <c r="E626" s="143" t="s">
        <v>10</v>
      </c>
      <c r="F626" s="144"/>
      <c r="G626" s="147"/>
      <c r="H626" s="148" t="str">
        <f>IF(WORKDAY(B626-1,1,공휴일!$B$4:$B$24)=B626,IF(WORKDAY(B626,1,공휴일!$B$4:$B$24)&lt;&gt;B626+1,"금요일","평일"),IF(WORKDAY(B626,1,공휴일!$B$4:$B$24)&lt;&gt;B626+1,"토요일","일요일"))</f>
        <v>일요일</v>
      </c>
      <c r="I626" s="125" t="str">
        <f t="shared" si="41"/>
        <v>2028-04</v>
      </c>
      <c r="J626" s="93" t="str">
        <f t="shared" si="42"/>
        <v>한문영</v>
      </c>
      <c r="K626" s="93" t="str">
        <f t="shared" si="43"/>
        <v>유진수</v>
      </c>
      <c r="L626" s="16" t="str">
        <f t="shared" si="44"/>
        <v>일</v>
      </c>
      <c r="M626" s="17" t="str">
        <f>IFERROR(VLOOKUP(B626,공휴일!B:C,2,0),"")</f>
        <v/>
      </c>
    </row>
    <row r="627" spans="2:13" x14ac:dyDescent="0.3">
      <c r="B627" s="142">
        <v>46846</v>
      </c>
      <c r="C627" s="143" t="s">
        <v>16</v>
      </c>
      <c r="D627" s="144"/>
      <c r="E627" s="143" t="s">
        <v>20</v>
      </c>
      <c r="F627" s="144"/>
      <c r="G627" s="147"/>
      <c r="H627" s="148" t="str">
        <f>IF(WORKDAY(B627-1,1,공휴일!$B$4:$B$24)=B627,IF(WORKDAY(B627,1,공휴일!$B$4:$B$24)&lt;&gt;B627+1,"금요일","평일"),IF(WORKDAY(B627,1,공휴일!$B$4:$B$24)&lt;&gt;B627+1,"토요일","일요일"))</f>
        <v>평일</v>
      </c>
      <c r="I627" s="125" t="str">
        <f t="shared" si="41"/>
        <v>2028-04</v>
      </c>
      <c r="J627" s="93" t="str">
        <f t="shared" si="42"/>
        <v>이현숙</v>
      </c>
      <c r="K627" s="93" t="str">
        <f t="shared" si="43"/>
        <v>이원철</v>
      </c>
      <c r="L627" s="16" t="str">
        <f t="shared" si="44"/>
        <v>월</v>
      </c>
      <c r="M627" s="17" t="str">
        <f>IFERROR(VLOOKUP(B627,공휴일!B:C,2,0),"")</f>
        <v/>
      </c>
    </row>
    <row r="628" spans="2:13" x14ac:dyDescent="0.3">
      <c r="B628" s="142">
        <v>46847</v>
      </c>
      <c r="C628" s="143" t="s">
        <v>13</v>
      </c>
      <c r="D628" s="144"/>
      <c r="E628" s="143" t="s">
        <v>21</v>
      </c>
      <c r="F628" s="144"/>
      <c r="G628" s="147"/>
      <c r="H628" s="148" t="str">
        <f>IF(WORKDAY(B628-1,1,공휴일!$B$4:$B$24)=B628,IF(WORKDAY(B628,1,공휴일!$B$4:$B$24)&lt;&gt;B628+1,"금요일","평일"),IF(WORKDAY(B628,1,공휴일!$B$4:$B$24)&lt;&gt;B628+1,"토요일","일요일"))</f>
        <v>평일</v>
      </c>
      <c r="I628" s="125" t="str">
        <f t="shared" si="41"/>
        <v>2028-04</v>
      </c>
      <c r="J628" s="93" t="str">
        <f t="shared" si="42"/>
        <v>안지영</v>
      </c>
      <c r="K628" s="93" t="str">
        <f t="shared" si="43"/>
        <v>정찬웅</v>
      </c>
      <c r="L628" s="16" t="str">
        <f t="shared" si="44"/>
        <v>화</v>
      </c>
      <c r="M628" s="17" t="str">
        <f>IFERROR(VLOOKUP(B628,공휴일!B:C,2,0),"")</f>
        <v/>
      </c>
    </row>
    <row r="629" spans="2:13" x14ac:dyDescent="0.3">
      <c r="B629" s="142">
        <v>46848</v>
      </c>
      <c r="C629" s="143" t="s">
        <v>41</v>
      </c>
      <c r="D629" s="144"/>
      <c r="E629" s="143" t="s">
        <v>22</v>
      </c>
      <c r="F629" s="144"/>
      <c r="G629" s="147"/>
      <c r="H629" s="148" t="str">
        <f>IF(WORKDAY(B629-1,1,공휴일!$B$4:$B$24)=B629,IF(WORKDAY(B629,1,공휴일!$B$4:$B$24)&lt;&gt;B629+1,"금요일","평일"),IF(WORKDAY(B629,1,공휴일!$B$4:$B$24)&lt;&gt;B629+1,"토요일","일요일"))</f>
        <v>평일</v>
      </c>
      <c r="I629" s="125" t="str">
        <f t="shared" si="41"/>
        <v>2028-04</v>
      </c>
      <c r="J629" s="93" t="str">
        <f t="shared" si="42"/>
        <v>송남철</v>
      </c>
      <c r="K629" s="93" t="str">
        <f t="shared" si="43"/>
        <v>서진호</v>
      </c>
      <c r="L629" s="16" t="str">
        <f t="shared" si="44"/>
        <v>수</v>
      </c>
      <c r="M629" s="17" t="str">
        <f>IFERROR(VLOOKUP(B629,공휴일!B:C,2,0),"")</f>
        <v>제22대 국회의원선거</v>
      </c>
    </row>
    <row r="630" spans="2:13" x14ac:dyDescent="0.3">
      <c r="B630" s="142">
        <v>46849</v>
      </c>
      <c r="C630" s="143" t="s">
        <v>17</v>
      </c>
      <c r="D630" s="144"/>
      <c r="E630" s="143" t="s">
        <v>11</v>
      </c>
      <c r="F630" s="144"/>
      <c r="G630" s="147"/>
      <c r="H630" s="148" t="str">
        <f>IF(WORKDAY(B630-1,1,공휴일!$B$4:$B$24)=B630,IF(WORKDAY(B630,1,공휴일!$B$4:$B$24)&lt;&gt;B630+1,"금요일","평일"),IF(WORKDAY(B630,1,공휴일!$B$4:$B$24)&lt;&gt;B630+1,"토요일","일요일"))</f>
        <v>평일</v>
      </c>
      <c r="I630" s="125" t="str">
        <f t="shared" si="41"/>
        <v>2028-04</v>
      </c>
      <c r="J630" s="93" t="str">
        <f t="shared" si="42"/>
        <v>신혜원</v>
      </c>
      <c r="K630" s="93" t="str">
        <f t="shared" si="43"/>
        <v>장민우</v>
      </c>
      <c r="L630" s="16" t="str">
        <f t="shared" si="44"/>
        <v>목</v>
      </c>
      <c r="M630" s="17" t="str">
        <f>IFERROR(VLOOKUP(B630,공휴일!B:C,2,0),"")</f>
        <v/>
      </c>
    </row>
    <row r="631" spans="2:13" x14ac:dyDescent="0.3">
      <c r="B631" s="142">
        <v>46850</v>
      </c>
      <c r="C631" s="143" t="s">
        <v>40</v>
      </c>
      <c r="D631" s="144"/>
      <c r="E631" s="143" t="s">
        <v>19</v>
      </c>
      <c r="F631" s="144"/>
      <c r="G631" s="147"/>
      <c r="H631" s="148" t="str">
        <f>IF(WORKDAY(B631-1,1,공휴일!$B$4:$B$24)=B631,IF(WORKDAY(B631,1,공휴일!$B$4:$B$24)&lt;&gt;B631+1,"금요일","평일"),IF(WORKDAY(B631,1,공휴일!$B$4:$B$24)&lt;&gt;B631+1,"토요일","일요일"))</f>
        <v>금요일</v>
      </c>
      <c r="I631" s="125" t="str">
        <f t="shared" si="41"/>
        <v>2028-04</v>
      </c>
      <c r="J631" s="93" t="str">
        <f t="shared" si="42"/>
        <v>여철호</v>
      </c>
      <c r="K631" s="93" t="str">
        <f t="shared" si="43"/>
        <v>우정수</v>
      </c>
      <c r="L631" s="16" t="str">
        <f t="shared" si="44"/>
        <v>금</v>
      </c>
      <c r="M631" s="17" t="str">
        <f>IFERROR(VLOOKUP(B631,공휴일!B:C,2,0),"")</f>
        <v/>
      </c>
    </row>
    <row r="632" spans="2:13" x14ac:dyDescent="0.3">
      <c r="B632" s="142">
        <v>46851</v>
      </c>
      <c r="C632" s="143" t="s">
        <v>15</v>
      </c>
      <c r="D632" s="144"/>
      <c r="E632" s="143" t="s">
        <v>44</v>
      </c>
      <c r="F632" s="144"/>
      <c r="G632" s="147"/>
      <c r="H632" s="148" t="str">
        <f>IF(WORKDAY(B632-1,1,공휴일!$B$4:$B$24)=B632,IF(WORKDAY(B632,1,공휴일!$B$4:$B$24)&lt;&gt;B632+1,"금요일","평일"),IF(WORKDAY(B632,1,공휴일!$B$4:$B$24)&lt;&gt;B632+1,"토요일","일요일"))</f>
        <v>토요일</v>
      </c>
      <c r="I632" s="125" t="str">
        <f t="shared" si="41"/>
        <v>2028-04</v>
      </c>
      <c r="J632" s="93" t="str">
        <f t="shared" si="42"/>
        <v>구민아</v>
      </c>
      <c r="K632" s="93" t="str">
        <f t="shared" si="43"/>
        <v>오기희</v>
      </c>
      <c r="L632" s="16" t="str">
        <f t="shared" si="44"/>
        <v>토</v>
      </c>
      <c r="M632" s="17" t="str">
        <f>IFERROR(VLOOKUP(B632,공휴일!B:C,2,0),"")</f>
        <v/>
      </c>
    </row>
    <row r="633" spans="2:13" x14ac:dyDescent="0.3">
      <c r="B633" s="142">
        <v>46852</v>
      </c>
      <c r="C633" s="143" t="s">
        <v>14</v>
      </c>
      <c r="D633" s="144"/>
      <c r="E633" s="143" t="s">
        <v>18</v>
      </c>
      <c r="F633" s="144"/>
      <c r="G633" s="147"/>
      <c r="H633" s="148" t="str">
        <f>IF(WORKDAY(B633-1,1,공휴일!$B$4:$B$24)=B633,IF(WORKDAY(B633,1,공휴일!$B$4:$B$24)&lt;&gt;B633+1,"금요일","평일"),IF(WORKDAY(B633,1,공휴일!$B$4:$B$24)&lt;&gt;B633+1,"토요일","일요일"))</f>
        <v>일요일</v>
      </c>
      <c r="I633" s="125" t="str">
        <f t="shared" si="41"/>
        <v>2028-04</v>
      </c>
      <c r="J633" s="93" t="str">
        <f t="shared" si="42"/>
        <v>고석규</v>
      </c>
      <c r="K633" s="93" t="str">
        <f t="shared" si="43"/>
        <v>이승현</v>
      </c>
      <c r="L633" s="16" t="str">
        <f t="shared" si="44"/>
        <v>일</v>
      </c>
      <c r="M633" s="17" t="str">
        <f>IFERROR(VLOOKUP(B633,공휴일!B:C,2,0),"")</f>
        <v/>
      </c>
    </row>
    <row r="634" spans="2:13" x14ac:dyDescent="0.3">
      <c r="B634" s="142">
        <v>46853</v>
      </c>
      <c r="C634" s="143" t="s">
        <v>12</v>
      </c>
      <c r="D634" s="144"/>
      <c r="E634" s="143" t="s">
        <v>10</v>
      </c>
      <c r="F634" s="144"/>
      <c r="G634" s="147"/>
      <c r="H634" s="148" t="str">
        <f>IF(WORKDAY(B634-1,1,공휴일!$B$4:$B$24)=B634,IF(WORKDAY(B634,1,공휴일!$B$4:$B$24)&lt;&gt;B634+1,"금요일","평일"),IF(WORKDAY(B634,1,공휴일!$B$4:$B$24)&lt;&gt;B634+1,"토요일","일요일"))</f>
        <v>평일</v>
      </c>
      <c r="I634" s="125" t="str">
        <f t="shared" si="41"/>
        <v>2028-04</v>
      </c>
      <c r="J634" s="93" t="str">
        <f t="shared" si="42"/>
        <v>한문영</v>
      </c>
      <c r="K634" s="93" t="str">
        <f t="shared" si="43"/>
        <v>유진수</v>
      </c>
      <c r="L634" s="16" t="str">
        <f t="shared" si="44"/>
        <v>월</v>
      </c>
      <c r="M634" s="17" t="str">
        <f>IFERROR(VLOOKUP(B634,공휴일!B:C,2,0),"")</f>
        <v/>
      </c>
    </row>
    <row r="635" spans="2:13" x14ac:dyDescent="0.3">
      <c r="B635" s="142">
        <v>46854</v>
      </c>
      <c r="C635" s="143" t="s">
        <v>16</v>
      </c>
      <c r="D635" s="144"/>
      <c r="E635" s="143" t="s">
        <v>20</v>
      </c>
      <c r="F635" s="144"/>
      <c r="G635" s="147"/>
      <c r="H635" s="148" t="str">
        <f>IF(WORKDAY(B635-1,1,공휴일!$B$4:$B$24)=B635,IF(WORKDAY(B635,1,공휴일!$B$4:$B$24)&lt;&gt;B635+1,"금요일","평일"),IF(WORKDAY(B635,1,공휴일!$B$4:$B$24)&lt;&gt;B635+1,"토요일","일요일"))</f>
        <v>평일</v>
      </c>
      <c r="I635" s="125" t="str">
        <f t="shared" si="41"/>
        <v>2028-04</v>
      </c>
      <c r="J635" s="93" t="str">
        <f t="shared" si="42"/>
        <v>이현숙</v>
      </c>
      <c r="K635" s="93" t="str">
        <f t="shared" si="43"/>
        <v>이원철</v>
      </c>
      <c r="L635" s="16" t="str">
        <f t="shared" si="44"/>
        <v>화</v>
      </c>
      <c r="M635" s="17" t="str">
        <f>IFERROR(VLOOKUP(B635,공휴일!B:C,2,0),"")</f>
        <v/>
      </c>
    </row>
    <row r="636" spans="2:13" x14ac:dyDescent="0.3">
      <c r="B636" s="142">
        <v>46855</v>
      </c>
      <c r="C636" s="143" t="s">
        <v>13</v>
      </c>
      <c r="D636" s="144"/>
      <c r="E636" s="143" t="s">
        <v>21</v>
      </c>
      <c r="F636" s="144"/>
      <c r="G636" s="147"/>
      <c r="H636" s="148" t="str">
        <f>IF(WORKDAY(B636-1,1,공휴일!$B$4:$B$24)=B636,IF(WORKDAY(B636,1,공휴일!$B$4:$B$24)&lt;&gt;B636+1,"금요일","평일"),IF(WORKDAY(B636,1,공휴일!$B$4:$B$24)&lt;&gt;B636+1,"토요일","일요일"))</f>
        <v>평일</v>
      </c>
      <c r="I636" s="125" t="str">
        <f t="shared" si="41"/>
        <v>2028-04</v>
      </c>
      <c r="J636" s="93" t="str">
        <f t="shared" si="42"/>
        <v>안지영</v>
      </c>
      <c r="K636" s="93" t="str">
        <f t="shared" si="43"/>
        <v>정찬웅</v>
      </c>
      <c r="L636" s="16" t="str">
        <f t="shared" si="44"/>
        <v>수</v>
      </c>
      <c r="M636" s="17" t="str">
        <f>IFERROR(VLOOKUP(B636,공휴일!B:C,2,0),"")</f>
        <v/>
      </c>
    </row>
    <row r="637" spans="2:13" x14ac:dyDescent="0.3">
      <c r="B637" s="142">
        <v>46856</v>
      </c>
      <c r="C637" s="143" t="s">
        <v>41</v>
      </c>
      <c r="D637" s="144"/>
      <c r="E637" s="143" t="s">
        <v>22</v>
      </c>
      <c r="F637" s="144"/>
      <c r="G637" s="147"/>
      <c r="H637" s="148" t="str">
        <f>IF(WORKDAY(B637-1,1,공휴일!$B$4:$B$24)=B637,IF(WORKDAY(B637,1,공휴일!$B$4:$B$24)&lt;&gt;B637+1,"금요일","평일"),IF(WORKDAY(B637,1,공휴일!$B$4:$B$24)&lt;&gt;B637+1,"토요일","일요일"))</f>
        <v>평일</v>
      </c>
      <c r="I637" s="125" t="str">
        <f t="shared" si="41"/>
        <v>2028-04</v>
      </c>
      <c r="J637" s="93" t="str">
        <f t="shared" si="42"/>
        <v>송남철</v>
      </c>
      <c r="K637" s="93" t="str">
        <f t="shared" si="43"/>
        <v>서진호</v>
      </c>
      <c r="L637" s="16" t="str">
        <f t="shared" si="44"/>
        <v>목</v>
      </c>
      <c r="M637" s="17" t="str">
        <f>IFERROR(VLOOKUP(B637,공휴일!B:C,2,0),"")</f>
        <v/>
      </c>
    </row>
    <row r="638" spans="2:13" x14ac:dyDescent="0.3">
      <c r="B638" s="142">
        <v>46857</v>
      </c>
      <c r="C638" s="143" t="s">
        <v>17</v>
      </c>
      <c r="D638" s="144"/>
      <c r="E638" s="143" t="s">
        <v>11</v>
      </c>
      <c r="F638" s="144"/>
      <c r="G638" s="147"/>
      <c r="H638" s="148" t="str">
        <f>IF(WORKDAY(B638-1,1,공휴일!$B$4:$B$24)=B638,IF(WORKDAY(B638,1,공휴일!$B$4:$B$24)&lt;&gt;B638+1,"금요일","평일"),IF(WORKDAY(B638,1,공휴일!$B$4:$B$24)&lt;&gt;B638+1,"토요일","일요일"))</f>
        <v>금요일</v>
      </c>
      <c r="I638" s="125" t="str">
        <f t="shared" si="41"/>
        <v>2028-04</v>
      </c>
      <c r="J638" s="93" t="str">
        <f t="shared" si="42"/>
        <v>신혜원</v>
      </c>
      <c r="K638" s="93" t="str">
        <f t="shared" si="43"/>
        <v>장민우</v>
      </c>
      <c r="L638" s="16" t="str">
        <f t="shared" si="44"/>
        <v>금</v>
      </c>
      <c r="M638" s="17" t="str">
        <f>IFERROR(VLOOKUP(B638,공휴일!B:C,2,0),"")</f>
        <v/>
      </c>
    </row>
    <row r="639" spans="2:13" x14ac:dyDescent="0.3">
      <c r="B639" s="142">
        <v>46858</v>
      </c>
      <c r="C639" s="143" t="s">
        <v>40</v>
      </c>
      <c r="D639" s="144"/>
      <c r="E639" s="143" t="s">
        <v>19</v>
      </c>
      <c r="F639" s="144"/>
      <c r="G639" s="147"/>
      <c r="H639" s="148" t="str">
        <f>IF(WORKDAY(B639-1,1,공휴일!$B$4:$B$24)=B639,IF(WORKDAY(B639,1,공휴일!$B$4:$B$24)&lt;&gt;B639+1,"금요일","평일"),IF(WORKDAY(B639,1,공휴일!$B$4:$B$24)&lt;&gt;B639+1,"토요일","일요일"))</f>
        <v>토요일</v>
      </c>
      <c r="I639" s="125" t="str">
        <f t="shared" si="41"/>
        <v>2028-04</v>
      </c>
      <c r="J639" s="93" t="str">
        <f t="shared" si="42"/>
        <v>여철호</v>
      </c>
      <c r="K639" s="93" t="str">
        <f t="shared" si="43"/>
        <v>우정수</v>
      </c>
      <c r="L639" s="16" t="str">
        <f t="shared" si="44"/>
        <v>토</v>
      </c>
      <c r="M639" s="17" t="str">
        <f>IFERROR(VLOOKUP(B639,공휴일!B:C,2,0),"")</f>
        <v/>
      </c>
    </row>
    <row r="640" spans="2:13" x14ac:dyDescent="0.3">
      <c r="B640" s="142">
        <v>46859</v>
      </c>
      <c r="C640" s="143" t="s">
        <v>15</v>
      </c>
      <c r="D640" s="144"/>
      <c r="E640" s="143" t="s">
        <v>44</v>
      </c>
      <c r="F640" s="144"/>
      <c r="G640" s="147"/>
      <c r="H640" s="148" t="str">
        <f>IF(WORKDAY(B640-1,1,공휴일!$B$4:$B$24)=B640,IF(WORKDAY(B640,1,공휴일!$B$4:$B$24)&lt;&gt;B640+1,"금요일","평일"),IF(WORKDAY(B640,1,공휴일!$B$4:$B$24)&lt;&gt;B640+1,"토요일","일요일"))</f>
        <v>일요일</v>
      </c>
      <c r="I640" s="125" t="str">
        <f t="shared" si="41"/>
        <v>2028-04</v>
      </c>
      <c r="J640" s="93" t="str">
        <f t="shared" si="42"/>
        <v>구민아</v>
      </c>
      <c r="K640" s="93" t="str">
        <f t="shared" si="43"/>
        <v>오기희</v>
      </c>
      <c r="L640" s="16" t="str">
        <f t="shared" si="44"/>
        <v>일</v>
      </c>
      <c r="M640" s="17" t="str">
        <f>IFERROR(VLOOKUP(B640,공휴일!B:C,2,0),"")</f>
        <v/>
      </c>
    </row>
    <row r="641" spans="2:13" x14ac:dyDescent="0.3">
      <c r="B641" s="142">
        <v>46860</v>
      </c>
      <c r="C641" s="143" t="s">
        <v>14</v>
      </c>
      <c r="D641" s="144"/>
      <c r="E641" s="143" t="s">
        <v>18</v>
      </c>
      <c r="F641" s="144"/>
      <c r="G641" s="147"/>
      <c r="H641" s="148" t="str">
        <f>IF(WORKDAY(B641-1,1,공휴일!$B$4:$B$24)=B641,IF(WORKDAY(B641,1,공휴일!$B$4:$B$24)&lt;&gt;B641+1,"금요일","평일"),IF(WORKDAY(B641,1,공휴일!$B$4:$B$24)&lt;&gt;B641+1,"토요일","일요일"))</f>
        <v>평일</v>
      </c>
      <c r="I641" s="125" t="str">
        <f t="shared" si="41"/>
        <v>2028-04</v>
      </c>
      <c r="J641" s="93" t="str">
        <f t="shared" si="42"/>
        <v>고석규</v>
      </c>
      <c r="K641" s="93" t="str">
        <f t="shared" si="43"/>
        <v>이승현</v>
      </c>
      <c r="L641" s="16" t="str">
        <f t="shared" si="44"/>
        <v>월</v>
      </c>
      <c r="M641" s="17" t="str">
        <f>IFERROR(VLOOKUP(B641,공휴일!B:C,2,0),"")</f>
        <v/>
      </c>
    </row>
    <row r="642" spans="2:13" x14ac:dyDescent="0.3">
      <c r="B642" s="142">
        <v>46861</v>
      </c>
      <c r="C642" s="143" t="s">
        <v>12</v>
      </c>
      <c r="D642" s="144"/>
      <c r="E642" s="143" t="s">
        <v>10</v>
      </c>
      <c r="F642" s="144"/>
      <c r="G642" s="147"/>
      <c r="H642" s="148" t="str">
        <f>IF(WORKDAY(B642-1,1,공휴일!$B$4:$B$24)=B642,IF(WORKDAY(B642,1,공휴일!$B$4:$B$24)&lt;&gt;B642+1,"금요일","평일"),IF(WORKDAY(B642,1,공휴일!$B$4:$B$24)&lt;&gt;B642+1,"토요일","일요일"))</f>
        <v>평일</v>
      </c>
      <c r="I642" s="125" t="str">
        <f t="shared" si="41"/>
        <v>2028-04</v>
      </c>
      <c r="J642" s="93" t="str">
        <f t="shared" si="42"/>
        <v>한문영</v>
      </c>
      <c r="K642" s="93" t="str">
        <f t="shared" si="43"/>
        <v>유진수</v>
      </c>
      <c r="L642" s="16" t="str">
        <f t="shared" si="44"/>
        <v>화</v>
      </c>
      <c r="M642" s="17" t="str">
        <f>IFERROR(VLOOKUP(B642,공휴일!B:C,2,0),"")</f>
        <v/>
      </c>
    </row>
    <row r="643" spans="2:13" x14ac:dyDescent="0.3">
      <c r="B643" s="142">
        <v>46862</v>
      </c>
      <c r="C643" s="143" t="s">
        <v>16</v>
      </c>
      <c r="D643" s="144"/>
      <c r="E643" s="143" t="s">
        <v>20</v>
      </c>
      <c r="F643" s="144"/>
      <c r="G643" s="147"/>
      <c r="H643" s="148" t="str">
        <f>IF(WORKDAY(B643-1,1,공휴일!$B$4:$B$24)=B643,IF(WORKDAY(B643,1,공휴일!$B$4:$B$24)&lt;&gt;B643+1,"금요일","평일"),IF(WORKDAY(B643,1,공휴일!$B$4:$B$24)&lt;&gt;B643+1,"토요일","일요일"))</f>
        <v>평일</v>
      </c>
      <c r="I643" s="125" t="str">
        <f t="shared" si="41"/>
        <v>2028-04</v>
      </c>
      <c r="J643" s="93" t="str">
        <f t="shared" si="42"/>
        <v>이현숙</v>
      </c>
      <c r="K643" s="93" t="str">
        <f t="shared" si="43"/>
        <v>이원철</v>
      </c>
      <c r="L643" s="16" t="str">
        <f t="shared" si="44"/>
        <v>수</v>
      </c>
      <c r="M643" s="17" t="str">
        <f>IFERROR(VLOOKUP(B643,공휴일!B:C,2,0),"")</f>
        <v/>
      </c>
    </row>
    <row r="644" spans="2:13" x14ac:dyDescent="0.3">
      <c r="B644" s="142">
        <v>46863</v>
      </c>
      <c r="C644" s="143" t="s">
        <v>13</v>
      </c>
      <c r="D644" s="144"/>
      <c r="E644" s="143" t="s">
        <v>21</v>
      </c>
      <c r="F644" s="144"/>
      <c r="G644" s="147"/>
      <c r="H644" s="148" t="str">
        <f>IF(WORKDAY(B644-1,1,공휴일!$B$4:$B$24)=B644,IF(WORKDAY(B644,1,공휴일!$B$4:$B$24)&lt;&gt;B644+1,"금요일","평일"),IF(WORKDAY(B644,1,공휴일!$B$4:$B$24)&lt;&gt;B644+1,"토요일","일요일"))</f>
        <v>평일</v>
      </c>
      <c r="I644" s="125" t="str">
        <f t="shared" si="41"/>
        <v>2028-04</v>
      </c>
      <c r="J644" s="93" t="str">
        <f t="shared" si="42"/>
        <v>안지영</v>
      </c>
      <c r="K644" s="93" t="str">
        <f t="shared" si="43"/>
        <v>정찬웅</v>
      </c>
      <c r="L644" s="16" t="str">
        <f t="shared" si="44"/>
        <v>목</v>
      </c>
      <c r="M644" s="17" t="str">
        <f>IFERROR(VLOOKUP(B644,공휴일!B:C,2,0),"")</f>
        <v/>
      </c>
    </row>
    <row r="645" spans="2:13" x14ac:dyDescent="0.3">
      <c r="B645" s="142">
        <v>46864</v>
      </c>
      <c r="C645" s="143" t="s">
        <v>41</v>
      </c>
      <c r="D645" s="144"/>
      <c r="E645" s="143" t="s">
        <v>22</v>
      </c>
      <c r="F645" s="144"/>
      <c r="G645" s="147"/>
      <c r="H645" s="148" t="str">
        <f>IF(WORKDAY(B645-1,1,공휴일!$B$4:$B$24)=B645,IF(WORKDAY(B645,1,공휴일!$B$4:$B$24)&lt;&gt;B645+1,"금요일","평일"),IF(WORKDAY(B645,1,공휴일!$B$4:$B$24)&lt;&gt;B645+1,"토요일","일요일"))</f>
        <v>금요일</v>
      </c>
      <c r="I645" s="125" t="str">
        <f t="shared" si="41"/>
        <v>2028-04</v>
      </c>
      <c r="J645" s="93" t="str">
        <f t="shared" si="42"/>
        <v>송남철</v>
      </c>
      <c r="K645" s="93" t="str">
        <f t="shared" si="43"/>
        <v>서진호</v>
      </c>
      <c r="L645" s="16" t="str">
        <f t="shared" si="44"/>
        <v>금</v>
      </c>
      <c r="M645" s="17" t="str">
        <f>IFERROR(VLOOKUP(B645,공휴일!B:C,2,0),"")</f>
        <v/>
      </c>
    </row>
    <row r="646" spans="2:13" x14ac:dyDescent="0.3">
      <c r="B646" s="142">
        <v>46865</v>
      </c>
      <c r="C646" s="143" t="s">
        <v>17</v>
      </c>
      <c r="D646" s="144"/>
      <c r="E646" s="143" t="s">
        <v>11</v>
      </c>
      <c r="F646" s="144"/>
      <c r="G646" s="147"/>
      <c r="H646" s="148" t="str">
        <f>IF(WORKDAY(B646-1,1,공휴일!$B$4:$B$24)=B646,IF(WORKDAY(B646,1,공휴일!$B$4:$B$24)&lt;&gt;B646+1,"금요일","평일"),IF(WORKDAY(B646,1,공휴일!$B$4:$B$24)&lt;&gt;B646+1,"토요일","일요일"))</f>
        <v>토요일</v>
      </c>
      <c r="I646" s="125" t="str">
        <f t="shared" ref="I646:I709" si="45">TEXT(B646,"yyyy-mm")</f>
        <v>2028-04</v>
      </c>
      <c r="J646" s="93" t="str">
        <f t="shared" si="42"/>
        <v>신혜원</v>
      </c>
      <c r="K646" s="93" t="str">
        <f t="shared" si="43"/>
        <v>장민우</v>
      </c>
      <c r="L646" s="16" t="str">
        <f t="shared" si="44"/>
        <v>토</v>
      </c>
      <c r="M646" s="17" t="str">
        <f>IFERROR(VLOOKUP(B646,공휴일!B:C,2,0),"")</f>
        <v/>
      </c>
    </row>
    <row r="647" spans="2:13" x14ac:dyDescent="0.3">
      <c r="B647" s="142">
        <v>46866</v>
      </c>
      <c r="C647" s="143" t="s">
        <v>40</v>
      </c>
      <c r="D647" s="144"/>
      <c r="E647" s="143" t="s">
        <v>19</v>
      </c>
      <c r="F647" s="144"/>
      <c r="G647" s="147"/>
      <c r="H647" s="148" t="str">
        <f>IF(WORKDAY(B647-1,1,공휴일!$B$4:$B$24)=B647,IF(WORKDAY(B647,1,공휴일!$B$4:$B$24)&lt;&gt;B647+1,"금요일","평일"),IF(WORKDAY(B647,1,공휴일!$B$4:$B$24)&lt;&gt;B647+1,"토요일","일요일"))</f>
        <v>일요일</v>
      </c>
      <c r="I647" s="125" t="str">
        <f t="shared" si="45"/>
        <v>2028-04</v>
      </c>
      <c r="J647" s="93" t="str">
        <f t="shared" si="42"/>
        <v>여철호</v>
      </c>
      <c r="K647" s="93" t="str">
        <f t="shared" si="43"/>
        <v>우정수</v>
      </c>
      <c r="L647" s="16" t="str">
        <f t="shared" si="44"/>
        <v>일</v>
      </c>
      <c r="M647" s="17" t="str">
        <f>IFERROR(VLOOKUP(B647,공휴일!B:C,2,0),"")</f>
        <v/>
      </c>
    </row>
    <row r="648" spans="2:13" x14ac:dyDescent="0.3">
      <c r="B648" s="142">
        <v>46867</v>
      </c>
      <c r="C648" s="143" t="s">
        <v>15</v>
      </c>
      <c r="D648" s="144"/>
      <c r="E648" s="143" t="s">
        <v>44</v>
      </c>
      <c r="F648" s="144"/>
      <c r="G648" s="147"/>
      <c r="H648" s="148" t="str">
        <f>IF(WORKDAY(B648-1,1,공휴일!$B$4:$B$24)=B648,IF(WORKDAY(B648,1,공휴일!$B$4:$B$24)&lt;&gt;B648+1,"금요일","평일"),IF(WORKDAY(B648,1,공휴일!$B$4:$B$24)&lt;&gt;B648+1,"토요일","일요일"))</f>
        <v>평일</v>
      </c>
      <c r="I648" s="125" t="str">
        <f t="shared" si="45"/>
        <v>2028-04</v>
      </c>
      <c r="J648" s="93" t="str">
        <f t="shared" si="42"/>
        <v>구민아</v>
      </c>
      <c r="K648" s="93" t="str">
        <f t="shared" si="43"/>
        <v>오기희</v>
      </c>
      <c r="L648" s="16" t="str">
        <f t="shared" si="44"/>
        <v>월</v>
      </c>
      <c r="M648" s="17" t="str">
        <f>IFERROR(VLOOKUP(B648,공휴일!B:C,2,0),"")</f>
        <v/>
      </c>
    </row>
    <row r="649" spans="2:13" x14ac:dyDescent="0.3">
      <c r="B649" s="142">
        <v>46868</v>
      </c>
      <c r="C649" s="143" t="s">
        <v>14</v>
      </c>
      <c r="D649" s="144"/>
      <c r="E649" s="143" t="s">
        <v>18</v>
      </c>
      <c r="F649" s="144"/>
      <c r="G649" s="147"/>
      <c r="H649" s="148" t="str">
        <f>IF(WORKDAY(B649-1,1,공휴일!$B$4:$B$24)=B649,IF(WORKDAY(B649,1,공휴일!$B$4:$B$24)&lt;&gt;B649+1,"금요일","평일"),IF(WORKDAY(B649,1,공휴일!$B$4:$B$24)&lt;&gt;B649+1,"토요일","일요일"))</f>
        <v>평일</v>
      </c>
      <c r="I649" s="125" t="str">
        <f t="shared" si="45"/>
        <v>2028-04</v>
      </c>
      <c r="J649" s="93" t="str">
        <f t="shared" si="42"/>
        <v>고석규</v>
      </c>
      <c r="K649" s="93" t="str">
        <f t="shared" si="43"/>
        <v>이승현</v>
      </c>
      <c r="L649" s="16" t="str">
        <f t="shared" si="44"/>
        <v>화</v>
      </c>
      <c r="M649" s="17" t="str">
        <f>IFERROR(VLOOKUP(B649,공휴일!B:C,2,0),"")</f>
        <v/>
      </c>
    </row>
    <row r="650" spans="2:13" x14ac:dyDescent="0.3">
      <c r="B650" s="142">
        <v>46869</v>
      </c>
      <c r="C650" s="143" t="s">
        <v>12</v>
      </c>
      <c r="D650" s="144"/>
      <c r="E650" s="143" t="s">
        <v>10</v>
      </c>
      <c r="F650" s="144"/>
      <c r="G650" s="147"/>
      <c r="H650" s="148" t="str">
        <f>IF(WORKDAY(B650-1,1,공휴일!$B$4:$B$24)=B650,IF(WORKDAY(B650,1,공휴일!$B$4:$B$24)&lt;&gt;B650+1,"금요일","평일"),IF(WORKDAY(B650,1,공휴일!$B$4:$B$24)&lt;&gt;B650+1,"토요일","일요일"))</f>
        <v>평일</v>
      </c>
      <c r="I650" s="125" t="str">
        <f t="shared" si="45"/>
        <v>2028-04</v>
      </c>
      <c r="J650" s="93" t="str">
        <f t="shared" si="42"/>
        <v>한문영</v>
      </c>
      <c r="K650" s="93" t="str">
        <f t="shared" si="43"/>
        <v>유진수</v>
      </c>
      <c r="L650" s="16" t="str">
        <f t="shared" si="44"/>
        <v>수</v>
      </c>
      <c r="M650" s="17" t="str">
        <f>IFERROR(VLOOKUP(B650,공휴일!B:C,2,0),"")</f>
        <v/>
      </c>
    </row>
    <row r="651" spans="2:13" x14ac:dyDescent="0.3">
      <c r="B651" s="142">
        <v>46870</v>
      </c>
      <c r="C651" s="143" t="s">
        <v>16</v>
      </c>
      <c r="D651" s="144"/>
      <c r="E651" s="143" t="s">
        <v>20</v>
      </c>
      <c r="F651" s="144"/>
      <c r="G651" s="147"/>
      <c r="H651" s="148" t="str">
        <f>IF(WORKDAY(B651-1,1,공휴일!$B$4:$B$24)=B651,IF(WORKDAY(B651,1,공휴일!$B$4:$B$24)&lt;&gt;B651+1,"금요일","평일"),IF(WORKDAY(B651,1,공휴일!$B$4:$B$24)&lt;&gt;B651+1,"토요일","일요일"))</f>
        <v>평일</v>
      </c>
      <c r="I651" s="125" t="str">
        <f t="shared" si="45"/>
        <v>2028-04</v>
      </c>
      <c r="J651" s="93" t="str">
        <f t="shared" si="42"/>
        <v>이현숙</v>
      </c>
      <c r="K651" s="93" t="str">
        <f t="shared" si="43"/>
        <v>이원철</v>
      </c>
      <c r="L651" s="16" t="str">
        <f t="shared" si="44"/>
        <v>목</v>
      </c>
      <c r="M651" s="17" t="str">
        <f>IFERROR(VLOOKUP(B651,공휴일!B:C,2,0),"")</f>
        <v/>
      </c>
    </row>
    <row r="652" spans="2:13" x14ac:dyDescent="0.3">
      <c r="B652" s="142">
        <v>46871</v>
      </c>
      <c r="C652" s="143" t="s">
        <v>13</v>
      </c>
      <c r="D652" s="144"/>
      <c r="E652" s="143" t="s">
        <v>21</v>
      </c>
      <c r="F652" s="144"/>
      <c r="G652" s="147"/>
      <c r="H652" s="148" t="str">
        <f>IF(WORKDAY(B652-1,1,공휴일!$B$4:$B$24)=B652,IF(WORKDAY(B652,1,공휴일!$B$4:$B$24)&lt;&gt;B652+1,"금요일","평일"),IF(WORKDAY(B652,1,공휴일!$B$4:$B$24)&lt;&gt;B652+1,"토요일","일요일"))</f>
        <v>금요일</v>
      </c>
      <c r="I652" s="125" t="str">
        <f t="shared" si="45"/>
        <v>2028-04</v>
      </c>
      <c r="J652" s="93" t="str">
        <f t="shared" si="42"/>
        <v>안지영</v>
      </c>
      <c r="K652" s="93" t="str">
        <f t="shared" si="43"/>
        <v>정찬웅</v>
      </c>
      <c r="L652" s="16" t="str">
        <f t="shared" si="44"/>
        <v>금</v>
      </c>
      <c r="M652" s="17" t="str">
        <f>IFERROR(VLOOKUP(B652,공휴일!B:C,2,0),"")</f>
        <v/>
      </c>
    </row>
    <row r="653" spans="2:13" x14ac:dyDescent="0.3">
      <c r="B653" s="142">
        <v>46872</v>
      </c>
      <c r="C653" s="143" t="s">
        <v>41</v>
      </c>
      <c r="D653" s="144"/>
      <c r="E653" s="143" t="s">
        <v>22</v>
      </c>
      <c r="F653" s="144"/>
      <c r="G653" s="147"/>
      <c r="H653" s="148" t="str">
        <f>IF(WORKDAY(B653-1,1,공휴일!$B$4:$B$24)=B653,IF(WORKDAY(B653,1,공휴일!$B$4:$B$24)&lt;&gt;B653+1,"금요일","평일"),IF(WORKDAY(B653,1,공휴일!$B$4:$B$24)&lt;&gt;B653+1,"토요일","일요일"))</f>
        <v>토요일</v>
      </c>
      <c r="I653" s="125" t="str">
        <f t="shared" si="45"/>
        <v>2028-04</v>
      </c>
      <c r="J653" s="93" t="str">
        <f t="shared" si="42"/>
        <v>송남철</v>
      </c>
      <c r="K653" s="93" t="str">
        <f t="shared" si="43"/>
        <v>서진호</v>
      </c>
      <c r="L653" s="16" t="str">
        <f t="shared" si="44"/>
        <v>토</v>
      </c>
      <c r="M653" s="17" t="str">
        <f>IFERROR(VLOOKUP(B653,공휴일!B:C,2,0),"")</f>
        <v/>
      </c>
    </row>
    <row r="654" spans="2:13" x14ac:dyDescent="0.3">
      <c r="B654" s="142">
        <v>46873</v>
      </c>
      <c r="C654" s="143" t="s">
        <v>17</v>
      </c>
      <c r="D654" s="144"/>
      <c r="E654" s="143" t="s">
        <v>11</v>
      </c>
      <c r="F654" s="144"/>
      <c r="G654" s="147"/>
      <c r="H654" s="148" t="str">
        <f>IF(WORKDAY(B654-1,1,공휴일!$B$4:$B$24)=B654,IF(WORKDAY(B654,1,공휴일!$B$4:$B$24)&lt;&gt;B654+1,"금요일","평일"),IF(WORKDAY(B654,1,공휴일!$B$4:$B$24)&lt;&gt;B654+1,"토요일","일요일"))</f>
        <v>일요일</v>
      </c>
      <c r="I654" s="125" t="str">
        <f t="shared" si="45"/>
        <v>2028-04</v>
      </c>
      <c r="J654" s="93" t="str">
        <f t="shared" si="42"/>
        <v>신혜원</v>
      </c>
      <c r="K654" s="93" t="str">
        <f t="shared" si="43"/>
        <v>장민우</v>
      </c>
      <c r="L654" s="16" t="str">
        <f t="shared" si="44"/>
        <v>일</v>
      </c>
      <c r="M654" s="17" t="str">
        <f>IFERROR(VLOOKUP(B654,공휴일!B:C,2,0),"")</f>
        <v/>
      </c>
    </row>
    <row r="655" spans="2:13" x14ac:dyDescent="0.3">
      <c r="B655" s="142">
        <v>46874</v>
      </c>
      <c r="C655" s="143" t="s">
        <v>40</v>
      </c>
      <c r="D655" s="144"/>
      <c r="E655" s="143" t="s">
        <v>19</v>
      </c>
      <c r="F655" s="144"/>
      <c r="G655" s="147"/>
      <c r="H655" s="148" t="str">
        <f>IF(WORKDAY(B655-1,1,공휴일!$B$4:$B$24)=B655,IF(WORKDAY(B655,1,공휴일!$B$4:$B$24)&lt;&gt;B655+1,"금요일","평일"),IF(WORKDAY(B655,1,공휴일!$B$4:$B$24)&lt;&gt;B655+1,"토요일","일요일"))</f>
        <v>평일</v>
      </c>
      <c r="I655" s="125" t="str">
        <f t="shared" si="45"/>
        <v>2028-05</v>
      </c>
      <c r="J655" s="93" t="str">
        <f t="shared" si="42"/>
        <v>여철호</v>
      </c>
      <c r="K655" s="93" t="str">
        <f t="shared" si="43"/>
        <v>우정수</v>
      </c>
      <c r="L655" s="16" t="str">
        <f t="shared" si="44"/>
        <v>월</v>
      </c>
      <c r="M655" s="17" t="str">
        <f>IFERROR(VLOOKUP(B655,공휴일!B:C,2,0),"")</f>
        <v/>
      </c>
    </row>
    <row r="656" spans="2:13" x14ac:dyDescent="0.3">
      <c r="B656" s="142">
        <v>46875</v>
      </c>
      <c r="C656" s="143" t="s">
        <v>15</v>
      </c>
      <c r="D656" s="144"/>
      <c r="E656" s="143" t="s">
        <v>44</v>
      </c>
      <c r="F656" s="144"/>
      <c r="G656" s="147"/>
      <c r="H656" s="148" t="str">
        <f>IF(WORKDAY(B656-1,1,공휴일!$B$4:$B$24)=B656,IF(WORKDAY(B656,1,공휴일!$B$4:$B$24)&lt;&gt;B656+1,"금요일","평일"),IF(WORKDAY(B656,1,공휴일!$B$4:$B$24)&lt;&gt;B656+1,"토요일","일요일"))</f>
        <v>평일</v>
      </c>
      <c r="I656" s="125" t="str">
        <f t="shared" si="45"/>
        <v>2028-05</v>
      </c>
      <c r="J656" s="93" t="str">
        <f t="shared" si="42"/>
        <v>구민아</v>
      </c>
      <c r="K656" s="93" t="str">
        <f t="shared" si="43"/>
        <v>오기희</v>
      </c>
      <c r="L656" s="16" t="str">
        <f t="shared" si="44"/>
        <v>화</v>
      </c>
      <c r="M656" s="17" t="str">
        <f>IFERROR(VLOOKUP(B656,공휴일!B:C,2,0),"")</f>
        <v/>
      </c>
    </row>
    <row r="657" spans="2:13" x14ac:dyDescent="0.3">
      <c r="B657" s="142">
        <v>46876</v>
      </c>
      <c r="C657" s="143" t="s">
        <v>14</v>
      </c>
      <c r="D657" s="144"/>
      <c r="E657" s="143" t="s">
        <v>18</v>
      </c>
      <c r="F657" s="144"/>
      <c r="G657" s="147"/>
      <c r="H657" s="148" t="str">
        <f>IF(WORKDAY(B657-1,1,공휴일!$B$4:$B$24)=B657,IF(WORKDAY(B657,1,공휴일!$B$4:$B$24)&lt;&gt;B657+1,"금요일","평일"),IF(WORKDAY(B657,1,공휴일!$B$4:$B$24)&lt;&gt;B657+1,"토요일","일요일"))</f>
        <v>평일</v>
      </c>
      <c r="I657" s="125" t="str">
        <f t="shared" si="45"/>
        <v>2028-05</v>
      </c>
      <c r="J657" s="93" t="str">
        <f t="shared" si="42"/>
        <v>고석규</v>
      </c>
      <c r="K657" s="93" t="str">
        <f t="shared" si="43"/>
        <v>이승현</v>
      </c>
      <c r="L657" s="16" t="str">
        <f t="shared" si="44"/>
        <v>수</v>
      </c>
      <c r="M657" s="17" t="str">
        <f>IFERROR(VLOOKUP(B657,공휴일!B:C,2,0),"")</f>
        <v/>
      </c>
    </row>
    <row r="658" spans="2:13" x14ac:dyDescent="0.3">
      <c r="B658" s="142">
        <v>46877</v>
      </c>
      <c r="C658" s="143" t="s">
        <v>12</v>
      </c>
      <c r="D658" s="144"/>
      <c r="E658" s="143" t="s">
        <v>10</v>
      </c>
      <c r="F658" s="144"/>
      <c r="G658" s="147"/>
      <c r="H658" s="148" t="str">
        <f>IF(WORKDAY(B658-1,1,공휴일!$B$4:$B$24)=B658,IF(WORKDAY(B658,1,공휴일!$B$4:$B$24)&lt;&gt;B658+1,"금요일","평일"),IF(WORKDAY(B658,1,공휴일!$B$4:$B$24)&lt;&gt;B658+1,"토요일","일요일"))</f>
        <v>평일</v>
      </c>
      <c r="I658" s="125" t="str">
        <f t="shared" si="45"/>
        <v>2028-05</v>
      </c>
      <c r="J658" s="93" t="str">
        <f t="shared" si="42"/>
        <v>한문영</v>
      </c>
      <c r="K658" s="93" t="str">
        <f t="shared" si="43"/>
        <v>유진수</v>
      </c>
      <c r="L658" s="16" t="str">
        <f t="shared" si="44"/>
        <v>목</v>
      </c>
      <c r="M658" s="17" t="str">
        <f>IFERROR(VLOOKUP(B658,공휴일!B:C,2,0),"")</f>
        <v/>
      </c>
    </row>
    <row r="659" spans="2:13" x14ac:dyDescent="0.3">
      <c r="B659" s="142">
        <v>46878</v>
      </c>
      <c r="C659" s="143" t="s">
        <v>16</v>
      </c>
      <c r="D659" s="144"/>
      <c r="E659" s="143" t="s">
        <v>20</v>
      </c>
      <c r="F659" s="144"/>
      <c r="G659" s="147"/>
      <c r="H659" s="148" t="str">
        <f>IF(WORKDAY(B659-1,1,공휴일!$B$4:$B$24)=B659,IF(WORKDAY(B659,1,공휴일!$B$4:$B$24)&lt;&gt;B659+1,"금요일","평일"),IF(WORKDAY(B659,1,공휴일!$B$4:$B$24)&lt;&gt;B659+1,"토요일","일요일"))</f>
        <v>금요일</v>
      </c>
      <c r="I659" s="125" t="str">
        <f t="shared" si="45"/>
        <v>2028-05</v>
      </c>
      <c r="J659" s="93" t="str">
        <f t="shared" si="42"/>
        <v>이현숙</v>
      </c>
      <c r="K659" s="93" t="str">
        <f t="shared" si="43"/>
        <v>이원철</v>
      </c>
      <c r="L659" s="16" t="str">
        <f t="shared" si="44"/>
        <v>금</v>
      </c>
      <c r="M659" s="17" t="str">
        <f>IFERROR(VLOOKUP(B659,공휴일!B:C,2,0),"")</f>
        <v>어린이날</v>
      </c>
    </row>
    <row r="660" spans="2:13" x14ac:dyDescent="0.3">
      <c r="B660" s="142">
        <v>46879</v>
      </c>
      <c r="C660" s="143" t="s">
        <v>13</v>
      </c>
      <c r="D660" s="144"/>
      <c r="E660" s="143" t="s">
        <v>21</v>
      </c>
      <c r="F660" s="144"/>
      <c r="G660" s="147"/>
      <c r="H660" s="148" t="str">
        <f>IF(WORKDAY(B660-1,1,공휴일!$B$4:$B$24)=B660,IF(WORKDAY(B660,1,공휴일!$B$4:$B$24)&lt;&gt;B660+1,"금요일","평일"),IF(WORKDAY(B660,1,공휴일!$B$4:$B$24)&lt;&gt;B660+1,"토요일","일요일"))</f>
        <v>토요일</v>
      </c>
      <c r="I660" s="125" t="str">
        <f t="shared" si="45"/>
        <v>2028-05</v>
      </c>
      <c r="J660" s="93" t="str">
        <f t="shared" si="42"/>
        <v>안지영</v>
      </c>
      <c r="K660" s="93" t="str">
        <f t="shared" si="43"/>
        <v>정찬웅</v>
      </c>
      <c r="L660" s="16" t="str">
        <f t="shared" si="44"/>
        <v>토</v>
      </c>
      <c r="M660" s="17" t="str">
        <f>IFERROR(VLOOKUP(B660,공휴일!B:C,2,0),"")</f>
        <v/>
      </c>
    </row>
    <row r="661" spans="2:13" x14ac:dyDescent="0.3">
      <c r="B661" s="142">
        <v>46880</v>
      </c>
      <c r="C661" s="143" t="s">
        <v>41</v>
      </c>
      <c r="D661" s="144"/>
      <c r="E661" s="143" t="s">
        <v>22</v>
      </c>
      <c r="F661" s="144"/>
      <c r="G661" s="147"/>
      <c r="H661" s="148" t="str">
        <f>IF(WORKDAY(B661-1,1,공휴일!$B$4:$B$24)=B661,IF(WORKDAY(B661,1,공휴일!$B$4:$B$24)&lt;&gt;B661+1,"금요일","평일"),IF(WORKDAY(B661,1,공휴일!$B$4:$B$24)&lt;&gt;B661+1,"토요일","일요일"))</f>
        <v>일요일</v>
      </c>
      <c r="I661" s="125" t="str">
        <f t="shared" si="45"/>
        <v>2028-05</v>
      </c>
      <c r="J661" s="93" t="str">
        <f t="shared" si="42"/>
        <v>송남철</v>
      </c>
      <c r="K661" s="93" t="str">
        <f t="shared" si="43"/>
        <v>서진호</v>
      </c>
      <c r="L661" s="16" t="str">
        <f t="shared" si="44"/>
        <v>일</v>
      </c>
      <c r="M661" s="17" t="str">
        <f>IFERROR(VLOOKUP(B661,공휴일!B:C,2,0),"")</f>
        <v/>
      </c>
    </row>
    <row r="662" spans="2:13" x14ac:dyDescent="0.3">
      <c r="B662" s="142">
        <v>46881</v>
      </c>
      <c r="C662" s="143" t="s">
        <v>17</v>
      </c>
      <c r="D662" s="144"/>
      <c r="E662" s="143" t="s">
        <v>11</v>
      </c>
      <c r="F662" s="144"/>
      <c r="G662" s="147"/>
      <c r="H662" s="148" t="str">
        <f>IF(WORKDAY(B662-1,1,공휴일!$B$4:$B$24)=B662,IF(WORKDAY(B662,1,공휴일!$B$4:$B$24)&lt;&gt;B662+1,"금요일","평일"),IF(WORKDAY(B662,1,공휴일!$B$4:$B$24)&lt;&gt;B662+1,"토요일","일요일"))</f>
        <v>평일</v>
      </c>
      <c r="I662" s="125" t="str">
        <f t="shared" si="45"/>
        <v>2028-05</v>
      </c>
      <c r="J662" s="93" t="str">
        <f t="shared" si="42"/>
        <v>신혜원</v>
      </c>
      <c r="K662" s="93" t="str">
        <f t="shared" si="43"/>
        <v>장민우</v>
      </c>
      <c r="L662" s="16" t="str">
        <f t="shared" si="44"/>
        <v>월</v>
      </c>
      <c r="M662" s="17" t="str">
        <f>IFERROR(VLOOKUP(B662,공휴일!B:C,2,0),"")</f>
        <v/>
      </c>
    </row>
    <row r="663" spans="2:13" x14ac:dyDescent="0.3">
      <c r="B663" s="142">
        <v>46882</v>
      </c>
      <c r="C663" s="143" t="s">
        <v>40</v>
      </c>
      <c r="D663" s="144"/>
      <c r="E663" s="143" t="s">
        <v>19</v>
      </c>
      <c r="F663" s="144"/>
      <c r="G663" s="147"/>
      <c r="H663" s="148" t="str">
        <f>IF(WORKDAY(B663-1,1,공휴일!$B$4:$B$24)=B663,IF(WORKDAY(B663,1,공휴일!$B$4:$B$24)&lt;&gt;B663+1,"금요일","평일"),IF(WORKDAY(B663,1,공휴일!$B$4:$B$24)&lt;&gt;B663+1,"토요일","일요일"))</f>
        <v>평일</v>
      </c>
      <c r="I663" s="125" t="str">
        <f t="shared" si="45"/>
        <v>2028-05</v>
      </c>
      <c r="J663" s="93" t="str">
        <f t="shared" si="42"/>
        <v>여철호</v>
      </c>
      <c r="K663" s="93" t="str">
        <f t="shared" si="43"/>
        <v>우정수</v>
      </c>
      <c r="L663" s="16" t="str">
        <f t="shared" si="44"/>
        <v>화</v>
      </c>
      <c r="M663" s="17" t="str">
        <f>IFERROR(VLOOKUP(B663,공휴일!B:C,2,0),"")</f>
        <v/>
      </c>
    </row>
    <row r="664" spans="2:13" x14ac:dyDescent="0.3">
      <c r="B664" s="142">
        <v>46883</v>
      </c>
      <c r="C664" s="143" t="s">
        <v>15</v>
      </c>
      <c r="D664" s="144"/>
      <c r="E664" s="143" t="s">
        <v>44</v>
      </c>
      <c r="F664" s="144"/>
      <c r="G664" s="147"/>
      <c r="H664" s="148" t="str">
        <f>IF(WORKDAY(B664-1,1,공휴일!$B$4:$B$24)=B664,IF(WORKDAY(B664,1,공휴일!$B$4:$B$24)&lt;&gt;B664+1,"금요일","평일"),IF(WORKDAY(B664,1,공휴일!$B$4:$B$24)&lt;&gt;B664+1,"토요일","일요일"))</f>
        <v>평일</v>
      </c>
      <c r="I664" s="125" t="str">
        <f t="shared" si="45"/>
        <v>2028-05</v>
      </c>
      <c r="J664" s="93" t="str">
        <f t="shared" si="42"/>
        <v>구민아</v>
      </c>
      <c r="K664" s="93" t="str">
        <f t="shared" si="43"/>
        <v>오기희</v>
      </c>
      <c r="L664" s="16" t="str">
        <f t="shared" si="44"/>
        <v>수</v>
      </c>
      <c r="M664" s="17" t="str">
        <f>IFERROR(VLOOKUP(B664,공휴일!B:C,2,0),"")</f>
        <v/>
      </c>
    </row>
    <row r="665" spans="2:13" x14ac:dyDescent="0.3">
      <c r="B665" s="142">
        <v>46884</v>
      </c>
      <c r="C665" s="143" t="s">
        <v>14</v>
      </c>
      <c r="D665" s="144"/>
      <c r="E665" s="143" t="s">
        <v>18</v>
      </c>
      <c r="F665" s="144"/>
      <c r="G665" s="147"/>
      <c r="H665" s="148" t="str">
        <f>IF(WORKDAY(B665-1,1,공휴일!$B$4:$B$24)=B665,IF(WORKDAY(B665,1,공휴일!$B$4:$B$24)&lt;&gt;B665+1,"금요일","평일"),IF(WORKDAY(B665,1,공휴일!$B$4:$B$24)&lt;&gt;B665+1,"토요일","일요일"))</f>
        <v>평일</v>
      </c>
      <c r="I665" s="125" t="str">
        <f t="shared" si="45"/>
        <v>2028-05</v>
      </c>
      <c r="J665" s="93" t="str">
        <f t="shared" si="42"/>
        <v>고석규</v>
      </c>
      <c r="K665" s="93" t="str">
        <f t="shared" si="43"/>
        <v>이승현</v>
      </c>
      <c r="L665" s="16" t="str">
        <f t="shared" si="44"/>
        <v>목</v>
      </c>
      <c r="M665" s="17" t="str">
        <f>IFERROR(VLOOKUP(B665,공휴일!B:C,2,0),"")</f>
        <v/>
      </c>
    </row>
    <row r="666" spans="2:13" x14ac:dyDescent="0.3">
      <c r="B666" s="142">
        <v>46885</v>
      </c>
      <c r="C666" s="143" t="s">
        <v>12</v>
      </c>
      <c r="D666" s="144"/>
      <c r="E666" s="143" t="s">
        <v>10</v>
      </c>
      <c r="F666" s="144"/>
      <c r="G666" s="147"/>
      <c r="H666" s="148" t="str">
        <f>IF(WORKDAY(B666-1,1,공휴일!$B$4:$B$24)=B666,IF(WORKDAY(B666,1,공휴일!$B$4:$B$24)&lt;&gt;B666+1,"금요일","평일"),IF(WORKDAY(B666,1,공휴일!$B$4:$B$24)&lt;&gt;B666+1,"토요일","일요일"))</f>
        <v>금요일</v>
      </c>
      <c r="I666" s="125" t="str">
        <f t="shared" si="45"/>
        <v>2028-05</v>
      </c>
      <c r="J666" s="93" t="str">
        <f t="shared" si="42"/>
        <v>한문영</v>
      </c>
      <c r="K666" s="93" t="str">
        <f t="shared" si="43"/>
        <v>유진수</v>
      </c>
      <c r="L666" s="16" t="str">
        <f t="shared" si="44"/>
        <v>금</v>
      </c>
      <c r="M666" s="17" t="str">
        <f>IFERROR(VLOOKUP(B666,공휴일!B:C,2,0),"")</f>
        <v/>
      </c>
    </row>
    <row r="667" spans="2:13" x14ac:dyDescent="0.3">
      <c r="B667" s="142">
        <v>46886</v>
      </c>
      <c r="C667" s="143" t="s">
        <v>16</v>
      </c>
      <c r="D667" s="144"/>
      <c r="E667" s="143" t="s">
        <v>20</v>
      </c>
      <c r="F667" s="144"/>
      <c r="G667" s="147"/>
      <c r="H667" s="148" t="str">
        <f>IF(WORKDAY(B667-1,1,공휴일!$B$4:$B$24)=B667,IF(WORKDAY(B667,1,공휴일!$B$4:$B$24)&lt;&gt;B667+1,"금요일","평일"),IF(WORKDAY(B667,1,공휴일!$B$4:$B$24)&lt;&gt;B667+1,"토요일","일요일"))</f>
        <v>토요일</v>
      </c>
      <c r="I667" s="125" t="str">
        <f t="shared" si="45"/>
        <v>2028-05</v>
      </c>
      <c r="J667" s="93" t="str">
        <f t="shared" si="42"/>
        <v>이현숙</v>
      </c>
      <c r="K667" s="93" t="str">
        <f t="shared" si="43"/>
        <v>이원철</v>
      </c>
      <c r="L667" s="16" t="str">
        <f t="shared" si="44"/>
        <v>토</v>
      </c>
      <c r="M667" s="17" t="str">
        <f>IFERROR(VLOOKUP(B667,공휴일!B:C,2,0),"")</f>
        <v/>
      </c>
    </row>
    <row r="668" spans="2:13" x14ac:dyDescent="0.3">
      <c r="B668" s="142">
        <v>46887</v>
      </c>
      <c r="C668" s="143" t="s">
        <v>13</v>
      </c>
      <c r="D668" s="144"/>
      <c r="E668" s="143" t="s">
        <v>21</v>
      </c>
      <c r="F668" s="144"/>
      <c r="G668" s="147"/>
      <c r="H668" s="148" t="str">
        <f>IF(WORKDAY(B668-1,1,공휴일!$B$4:$B$24)=B668,IF(WORKDAY(B668,1,공휴일!$B$4:$B$24)&lt;&gt;B668+1,"금요일","평일"),IF(WORKDAY(B668,1,공휴일!$B$4:$B$24)&lt;&gt;B668+1,"토요일","일요일"))</f>
        <v>일요일</v>
      </c>
      <c r="I668" s="125" t="str">
        <f t="shared" si="45"/>
        <v>2028-05</v>
      </c>
      <c r="J668" s="93" t="str">
        <f t="shared" si="42"/>
        <v>안지영</v>
      </c>
      <c r="K668" s="93" t="str">
        <f t="shared" si="43"/>
        <v>정찬웅</v>
      </c>
      <c r="L668" s="16" t="str">
        <f t="shared" si="44"/>
        <v>일</v>
      </c>
      <c r="M668" s="17" t="str">
        <f>IFERROR(VLOOKUP(B668,공휴일!B:C,2,0),"")</f>
        <v/>
      </c>
    </row>
    <row r="669" spans="2:13" x14ac:dyDescent="0.3">
      <c r="B669" s="142">
        <v>46888</v>
      </c>
      <c r="C669" s="143" t="s">
        <v>41</v>
      </c>
      <c r="D669" s="144"/>
      <c r="E669" s="143" t="s">
        <v>22</v>
      </c>
      <c r="F669" s="144"/>
      <c r="G669" s="147"/>
      <c r="H669" s="148" t="str">
        <f>IF(WORKDAY(B669-1,1,공휴일!$B$4:$B$24)=B669,IF(WORKDAY(B669,1,공휴일!$B$4:$B$24)&lt;&gt;B669+1,"금요일","평일"),IF(WORKDAY(B669,1,공휴일!$B$4:$B$24)&lt;&gt;B669+1,"토요일","일요일"))</f>
        <v>평일</v>
      </c>
      <c r="I669" s="125" t="str">
        <f t="shared" si="45"/>
        <v>2028-05</v>
      </c>
      <c r="J669" s="93" t="str">
        <f t="shared" si="42"/>
        <v>송남철</v>
      </c>
      <c r="K669" s="93" t="str">
        <f t="shared" si="43"/>
        <v>서진호</v>
      </c>
      <c r="L669" s="16" t="str">
        <f t="shared" si="44"/>
        <v>월</v>
      </c>
      <c r="M669" s="17" t="str">
        <f>IFERROR(VLOOKUP(B669,공휴일!B:C,2,0),"")</f>
        <v/>
      </c>
    </row>
    <row r="670" spans="2:13" x14ac:dyDescent="0.3">
      <c r="B670" s="142">
        <v>46889</v>
      </c>
      <c r="C670" s="143" t="s">
        <v>17</v>
      </c>
      <c r="D670" s="144"/>
      <c r="E670" s="143" t="s">
        <v>11</v>
      </c>
      <c r="F670" s="144"/>
      <c r="G670" s="147"/>
      <c r="H670" s="148" t="str">
        <f>IF(WORKDAY(B670-1,1,공휴일!$B$4:$B$24)=B670,IF(WORKDAY(B670,1,공휴일!$B$4:$B$24)&lt;&gt;B670+1,"금요일","평일"),IF(WORKDAY(B670,1,공휴일!$B$4:$B$24)&lt;&gt;B670+1,"토요일","일요일"))</f>
        <v>평일</v>
      </c>
      <c r="I670" s="125" t="str">
        <f t="shared" si="45"/>
        <v>2028-05</v>
      </c>
      <c r="J670" s="93" t="str">
        <f t="shared" si="42"/>
        <v>신혜원</v>
      </c>
      <c r="K670" s="93" t="str">
        <f t="shared" si="43"/>
        <v>장민우</v>
      </c>
      <c r="L670" s="16" t="str">
        <f t="shared" si="44"/>
        <v>화</v>
      </c>
      <c r="M670" s="17" t="str">
        <f>IFERROR(VLOOKUP(B670,공휴일!B:C,2,0),"")</f>
        <v/>
      </c>
    </row>
    <row r="671" spans="2:13" x14ac:dyDescent="0.3">
      <c r="B671" s="142">
        <v>46890</v>
      </c>
      <c r="C671" s="143" t="s">
        <v>40</v>
      </c>
      <c r="D671" s="144"/>
      <c r="E671" s="143" t="s">
        <v>19</v>
      </c>
      <c r="F671" s="144"/>
      <c r="G671" s="147"/>
      <c r="H671" s="148" t="str">
        <f>IF(WORKDAY(B671-1,1,공휴일!$B$4:$B$24)=B671,IF(WORKDAY(B671,1,공휴일!$B$4:$B$24)&lt;&gt;B671+1,"금요일","평일"),IF(WORKDAY(B671,1,공휴일!$B$4:$B$24)&lt;&gt;B671+1,"토요일","일요일"))</f>
        <v>평일</v>
      </c>
      <c r="I671" s="125" t="str">
        <f t="shared" si="45"/>
        <v>2028-05</v>
      </c>
      <c r="J671" s="93" t="str">
        <f t="shared" si="42"/>
        <v>여철호</v>
      </c>
      <c r="K671" s="93" t="str">
        <f t="shared" si="43"/>
        <v>우정수</v>
      </c>
      <c r="L671" s="16" t="str">
        <f t="shared" si="44"/>
        <v>수</v>
      </c>
      <c r="M671" s="17" t="str">
        <f>IFERROR(VLOOKUP(B671,공휴일!B:C,2,0),"")</f>
        <v/>
      </c>
    </row>
    <row r="672" spans="2:13" x14ac:dyDescent="0.3">
      <c r="B672" s="142">
        <v>46891</v>
      </c>
      <c r="C672" s="143" t="s">
        <v>15</v>
      </c>
      <c r="D672" s="144"/>
      <c r="E672" s="143" t="s">
        <v>44</v>
      </c>
      <c r="F672" s="144"/>
      <c r="G672" s="147"/>
      <c r="H672" s="148" t="str">
        <f>IF(WORKDAY(B672-1,1,공휴일!$B$4:$B$24)=B672,IF(WORKDAY(B672,1,공휴일!$B$4:$B$24)&lt;&gt;B672+1,"금요일","평일"),IF(WORKDAY(B672,1,공휴일!$B$4:$B$24)&lt;&gt;B672+1,"토요일","일요일"))</f>
        <v>평일</v>
      </c>
      <c r="I672" s="125" t="str">
        <f t="shared" si="45"/>
        <v>2028-05</v>
      </c>
      <c r="J672" s="93" t="str">
        <f t="shared" si="42"/>
        <v>구민아</v>
      </c>
      <c r="K672" s="93" t="str">
        <f t="shared" si="43"/>
        <v>오기희</v>
      </c>
      <c r="L672" s="16" t="str">
        <f t="shared" si="44"/>
        <v>목</v>
      </c>
      <c r="M672" s="17" t="str">
        <f>IFERROR(VLOOKUP(B672,공휴일!B:C,2,0),"")</f>
        <v/>
      </c>
    </row>
    <row r="673" spans="2:13" x14ac:dyDescent="0.3">
      <c r="B673" s="142">
        <v>46892</v>
      </c>
      <c r="C673" s="143" t="s">
        <v>14</v>
      </c>
      <c r="D673" s="144"/>
      <c r="E673" s="143" t="s">
        <v>18</v>
      </c>
      <c r="F673" s="144"/>
      <c r="G673" s="147"/>
      <c r="H673" s="148" t="str">
        <f>IF(WORKDAY(B673-1,1,공휴일!$B$4:$B$24)=B673,IF(WORKDAY(B673,1,공휴일!$B$4:$B$24)&lt;&gt;B673+1,"금요일","평일"),IF(WORKDAY(B673,1,공휴일!$B$4:$B$24)&lt;&gt;B673+1,"토요일","일요일"))</f>
        <v>금요일</v>
      </c>
      <c r="I673" s="125" t="str">
        <f t="shared" si="45"/>
        <v>2028-05</v>
      </c>
      <c r="J673" s="93" t="str">
        <f t="shared" si="42"/>
        <v>고석규</v>
      </c>
      <c r="K673" s="93" t="str">
        <f t="shared" si="43"/>
        <v>이승현</v>
      </c>
      <c r="L673" s="16" t="str">
        <f t="shared" si="44"/>
        <v>금</v>
      </c>
      <c r="M673" s="17" t="str">
        <f>IFERROR(VLOOKUP(B673,공휴일!B:C,2,0),"")</f>
        <v/>
      </c>
    </row>
    <row r="674" spans="2:13" x14ac:dyDescent="0.3">
      <c r="B674" s="142">
        <v>46893</v>
      </c>
      <c r="C674" s="143" t="s">
        <v>12</v>
      </c>
      <c r="D674" s="144"/>
      <c r="E674" s="143" t="s">
        <v>10</v>
      </c>
      <c r="F674" s="144"/>
      <c r="G674" s="147"/>
      <c r="H674" s="148" t="str">
        <f>IF(WORKDAY(B674-1,1,공휴일!$B$4:$B$24)=B674,IF(WORKDAY(B674,1,공휴일!$B$4:$B$24)&lt;&gt;B674+1,"금요일","평일"),IF(WORKDAY(B674,1,공휴일!$B$4:$B$24)&lt;&gt;B674+1,"토요일","일요일"))</f>
        <v>토요일</v>
      </c>
      <c r="I674" s="125" t="str">
        <f t="shared" si="45"/>
        <v>2028-05</v>
      </c>
      <c r="J674" s="93" t="str">
        <f t="shared" si="42"/>
        <v>한문영</v>
      </c>
      <c r="K674" s="93" t="str">
        <f t="shared" si="43"/>
        <v>유진수</v>
      </c>
      <c r="L674" s="16" t="str">
        <f t="shared" si="44"/>
        <v>토</v>
      </c>
      <c r="M674" s="17" t="str">
        <f>IFERROR(VLOOKUP(B674,공휴일!B:C,2,0),"")</f>
        <v/>
      </c>
    </row>
    <row r="675" spans="2:13" x14ac:dyDescent="0.3">
      <c r="B675" s="142">
        <v>46894</v>
      </c>
      <c r="C675" s="143" t="s">
        <v>16</v>
      </c>
      <c r="D675" s="144"/>
      <c r="E675" s="143" t="s">
        <v>20</v>
      </c>
      <c r="F675" s="144"/>
      <c r="G675" s="147"/>
      <c r="H675" s="148" t="str">
        <f>IF(WORKDAY(B675-1,1,공휴일!$B$4:$B$24)=B675,IF(WORKDAY(B675,1,공휴일!$B$4:$B$24)&lt;&gt;B675+1,"금요일","평일"),IF(WORKDAY(B675,1,공휴일!$B$4:$B$24)&lt;&gt;B675+1,"토요일","일요일"))</f>
        <v>일요일</v>
      </c>
      <c r="I675" s="125" t="str">
        <f t="shared" si="45"/>
        <v>2028-05</v>
      </c>
      <c r="J675" s="93" t="str">
        <f t="shared" si="42"/>
        <v>이현숙</v>
      </c>
      <c r="K675" s="93" t="str">
        <f t="shared" si="43"/>
        <v>이원철</v>
      </c>
      <c r="L675" s="16" t="str">
        <f t="shared" si="44"/>
        <v>일</v>
      </c>
      <c r="M675" s="17" t="str">
        <f>IFERROR(VLOOKUP(B675,공휴일!B:C,2,0),"")</f>
        <v/>
      </c>
    </row>
    <row r="676" spans="2:13" x14ac:dyDescent="0.3">
      <c r="B676" s="142">
        <v>46895</v>
      </c>
      <c r="C676" s="143" t="s">
        <v>13</v>
      </c>
      <c r="D676" s="144"/>
      <c r="E676" s="143" t="s">
        <v>21</v>
      </c>
      <c r="F676" s="144"/>
      <c r="G676" s="147"/>
      <c r="H676" s="148" t="str">
        <f>IF(WORKDAY(B676-1,1,공휴일!$B$4:$B$24)=B676,IF(WORKDAY(B676,1,공휴일!$B$4:$B$24)&lt;&gt;B676+1,"금요일","평일"),IF(WORKDAY(B676,1,공휴일!$B$4:$B$24)&lt;&gt;B676+1,"토요일","일요일"))</f>
        <v>평일</v>
      </c>
      <c r="I676" s="125" t="str">
        <f t="shared" si="45"/>
        <v>2028-05</v>
      </c>
      <c r="J676" s="93" t="str">
        <f t="shared" si="42"/>
        <v>안지영</v>
      </c>
      <c r="K676" s="93" t="str">
        <f t="shared" si="43"/>
        <v>정찬웅</v>
      </c>
      <c r="L676" s="16" t="str">
        <f t="shared" si="44"/>
        <v>월</v>
      </c>
      <c r="M676" s="17" t="str">
        <f>IFERROR(VLOOKUP(B676,공휴일!B:C,2,0),"")</f>
        <v/>
      </c>
    </row>
    <row r="677" spans="2:13" x14ac:dyDescent="0.3">
      <c r="B677" s="142">
        <v>46896</v>
      </c>
      <c r="C677" s="143" t="s">
        <v>41</v>
      </c>
      <c r="D677" s="144"/>
      <c r="E677" s="143" t="s">
        <v>22</v>
      </c>
      <c r="F677" s="144"/>
      <c r="G677" s="147"/>
      <c r="H677" s="148" t="str">
        <f>IF(WORKDAY(B677-1,1,공휴일!$B$4:$B$24)=B677,IF(WORKDAY(B677,1,공휴일!$B$4:$B$24)&lt;&gt;B677+1,"금요일","평일"),IF(WORKDAY(B677,1,공휴일!$B$4:$B$24)&lt;&gt;B677+1,"토요일","일요일"))</f>
        <v>평일</v>
      </c>
      <c r="I677" s="125" t="str">
        <f t="shared" si="45"/>
        <v>2028-05</v>
      </c>
      <c r="J677" s="93" t="str">
        <f t="shared" si="42"/>
        <v>송남철</v>
      </c>
      <c r="K677" s="93" t="str">
        <f t="shared" si="43"/>
        <v>서진호</v>
      </c>
      <c r="L677" s="16" t="str">
        <f t="shared" si="44"/>
        <v>화</v>
      </c>
      <c r="M677" s="17" t="str">
        <f>IFERROR(VLOOKUP(B677,공휴일!B:C,2,0),"")</f>
        <v/>
      </c>
    </row>
    <row r="678" spans="2:13" x14ac:dyDescent="0.3">
      <c r="B678" s="142">
        <v>46897</v>
      </c>
      <c r="C678" s="143" t="s">
        <v>17</v>
      </c>
      <c r="D678" s="144"/>
      <c r="E678" s="143" t="s">
        <v>11</v>
      </c>
      <c r="F678" s="144"/>
      <c r="G678" s="147"/>
      <c r="H678" s="148" t="str">
        <f>IF(WORKDAY(B678-1,1,공휴일!$B$4:$B$24)=B678,IF(WORKDAY(B678,1,공휴일!$B$4:$B$24)&lt;&gt;B678+1,"금요일","평일"),IF(WORKDAY(B678,1,공휴일!$B$4:$B$24)&lt;&gt;B678+1,"토요일","일요일"))</f>
        <v>평일</v>
      </c>
      <c r="I678" s="125" t="str">
        <f t="shared" si="45"/>
        <v>2028-05</v>
      </c>
      <c r="J678" s="93" t="str">
        <f t="shared" si="42"/>
        <v>신혜원</v>
      </c>
      <c r="K678" s="93" t="str">
        <f t="shared" si="43"/>
        <v>장민우</v>
      </c>
      <c r="L678" s="16" t="str">
        <f t="shared" si="44"/>
        <v>수</v>
      </c>
      <c r="M678" s="17" t="str">
        <f>IFERROR(VLOOKUP(B678,공휴일!B:C,2,0),"")</f>
        <v/>
      </c>
    </row>
    <row r="679" spans="2:13" x14ac:dyDescent="0.3">
      <c r="B679" s="142">
        <v>46898</v>
      </c>
      <c r="C679" s="143" t="s">
        <v>40</v>
      </c>
      <c r="D679" s="144"/>
      <c r="E679" s="143" t="s">
        <v>19</v>
      </c>
      <c r="F679" s="144"/>
      <c r="G679" s="147"/>
      <c r="H679" s="148" t="str">
        <f>IF(WORKDAY(B679-1,1,공휴일!$B$4:$B$24)=B679,IF(WORKDAY(B679,1,공휴일!$B$4:$B$24)&lt;&gt;B679+1,"금요일","평일"),IF(WORKDAY(B679,1,공휴일!$B$4:$B$24)&lt;&gt;B679+1,"토요일","일요일"))</f>
        <v>평일</v>
      </c>
      <c r="I679" s="125" t="str">
        <f t="shared" si="45"/>
        <v>2028-05</v>
      </c>
      <c r="J679" s="93" t="str">
        <f t="shared" si="42"/>
        <v>여철호</v>
      </c>
      <c r="K679" s="93" t="str">
        <f t="shared" si="43"/>
        <v>우정수</v>
      </c>
      <c r="L679" s="16" t="str">
        <f t="shared" si="44"/>
        <v>목</v>
      </c>
      <c r="M679" s="17" t="str">
        <f>IFERROR(VLOOKUP(B679,공휴일!B:C,2,0),"")</f>
        <v>부처님오신날</v>
      </c>
    </row>
    <row r="680" spans="2:13" x14ac:dyDescent="0.3">
      <c r="B680" s="142">
        <v>46899</v>
      </c>
      <c r="C680" s="143" t="s">
        <v>15</v>
      </c>
      <c r="D680" s="144"/>
      <c r="E680" s="143" t="s">
        <v>44</v>
      </c>
      <c r="F680" s="144"/>
      <c r="G680" s="147"/>
      <c r="H680" s="148" t="str">
        <f>IF(WORKDAY(B680-1,1,공휴일!$B$4:$B$24)=B680,IF(WORKDAY(B680,1,공휴일!$B$4:$B$24)&lt;&gt;B680+1,"금요일","평일"),IF(WORKDAY(B680,1,공휴일!$B$4:$B$24)&lt;&gt;B680+1,"토요일","일요일"))</f>
        <v>금요일</v>
      </c>
      <c r="I680" s="125" t="str">
        <f t="shared" si="45"/>
        <v>2028-05</v>
      </c>
      <c r="J680" s="93" t="str">
        <f t="shared" si="42"/>
        <v>구민아</v>
      </c>
      <c r="K680" s="93" t="str">
        <f t="shared" si="43"/>
        <v>오기희</v>
      </c>
      <c r="L680" s="16" t="str">
        <f t="shared" si="44"/>
        <v>금</v>
      </c>
      <c r="M680" s="17" t="str">
        <f>IFERROR(VLOOKUP(B680,공휴일!B:C,2,0),"")</f>
        <v/>
      </c>
    </row>
    <row r="681" spans="2:13" x14ac:dyDescent="0.3">
      <c r="B681" s="142">
        <v>46900</v>
      </c>
      <c r="C681" s="143" t="s">
        <v>14</v>
      </c>
      <c r="D681" s="144"/>
      <c r="E681" s="143" t="s">
        <v>18</v>
      </c>
      <c r="F681" s="144"/>
      <c r="G681" s="147"/>
      <c r="H681" s="148" t="str">
        <f>IF(WORKDAY(B681-1,1,공휴일!$B$4:$B$24)=B681,IF(WORKDAY(B681,1,공휴일!$B$4:$B$24)&lt;&gt;B681+1,"금요일","평일"),IF(WORKDAY(B681,1,공휴일!$B$4:$B$24)&lt;&gt;B681+1,"토요일","일요일"))</f>
        <v>토요일</v>
      </c>
      <c r="I681" s="125" t="str">
        <f t="shared" si="45"/>
        <v>2028-05</v>
      </c>
      <c r="J681" s="93" t="str">
        <f t="shared" ref="J681:J744" si="46">IF(D681="",C681,D681)</f>
        <v>고석규</v>
      </c>
      <c r="K681" s="93" t="str">
        <f t="shared" ref="K681:K744" si="47">IF(F681="",E681,F681)</f>
        <v>이승현</v>
      </c>
      <c r="L681" s="16" t="str">
        <f t="shared" ref="L681:L744" si="48">TEXT(B681,"aaa")</f>
        <v>토</v>
      </c>
      <c r="M681" s="17" t="str">
        <f>IFERROR(VLOOKUP(B681,공휴일!B:C,2,0),"")</f>
        <v/>
      </c>
    </row>
    <row r="682" spans="2:13" x14ac:dyDescent="0.3">
      <c r="B682" s="142">
        <v>46901</v>
      </c>
      <c r="C682" s="143" t="s">
        <v>12</v>
      </c>
      <c r="D682" s="144"/>
      <c r="E682" s="143" t="s">
        <v>10</v>
      </c>
      <c r="F682" s="144"/>
      <c r="G682" s="147"/>
      <c r="H682" s="148" t="str">
        <f>IF(WORKDAY(B682-1,1,공휴일!$B$4:$B$24)=B682,IF(WORKDAY(B682,1,공휴일!$B$4:$B$24)&lt;&gt;B682+1,"금요일","평일"),IF(WORKDAY(B682,1,공휴일!$B$4:$B$24)&lt;&gt;B682+1,"토요일","일요일"))</f>
        <v>일요일</v>
      </c>
      <c r="I682" s="125" t="str">
        <f t="shared" si="45"/>
        <v>2028-05</v>
      </c>
      <c r="J682" s="93" t="str">
        <f t="shared" si="46"/>
        <v>한문영</v>
      </c>
      <c r="K682" s="93" t="str">
        <f t="shared" si="47"/>
        <v>유진수</v>
      </c>
      <c r="L682" s="16" t="str">
        <f t="shared" si="48"/>
        <v>일</v>
      </c>
      <c r="M682" s="17" t="str">
        <f>IFERROR(VLOOKUP(B682,공휴일!B:C,2,0),"")</f>
        <v/>
      </c>
    </row>
    <row r="683" spans="2:13" x14ac:dyDescent="0.3">
      <c r="B683" s="142">
        <v>46902</v>
      </c>
      <c r="C683" s="143" t="s">
        <v>16</v>
      </c>
      <c r="D683" s="144"/>
      <c r="E683" s="143" t="s">
        <v>20</v>
      </c>
      <c r="F683" s="144"/>
      <c r="G683" s="147"/>
      <c r="H683" s="148" t="str">
        <f>IF(WORKDAY(B683-1,1,공휴일!$B$4:$B$24)=B683,IF(WORKDAY(B683,1,공휴일!$B$4:$B$24)&lt;&gt;B683+1,"금요일","평일"),IF(WORKDAY(B683,1,공휴일!$B$4:$B$24)&lt;&gt;B683+1,"토요일","일요일"))</f>
        <v>평일</v>
      </c>
      <c r="I683" s="125" t="str">
        <f t="shared" si="45"/>
        <v>2028-05</v>
      </c>
      <c r="J683" s="93" t="str">
        <f t="shared" si="46"/>
        <v>이현숙</v>
      </c>
      <c r="K683" s="93" t="str">
        <f t="shared" si="47"/>
        <v>이원철</v>
      </c>
      <c r="L683" s="16" t="str">
        <f t="shared" si="48"/>
        <v>월</v>
      </c>
      <c r="M683" s="17" t="str">
        <f>IFERROR(VLOOKUP(B683,공휴일!B:C,2,0),"")</f>
        <v/>
      </c>
    </row>
    <row r="684" spans="2:13" x14ac:dyDescent="0.3">
      <c r="B684" s="142">
        <v>46903</v>
      </c>
      <c r="C684" s="143" t="s">
        <v>13</v>
      </c>
      <c r="D684" s="144"/>
      <c r="E684" s="143" t="s">
        <v>21</v>
      </c>
      <c r="F684" s="144"/>
      <c r="G684" s="147"/>
      <c r="H684" s="148" t="str">
        <f>IF(WORKDAY(B684-1,1,공휴일!$B$4:$B$24)=B684,IF(WORKDAY(B684,1,공휴일!$B$4:$B$24)&lt;&gt;B684+1,"금요일","평일"),IF(WORKDAY(B684,1,공휴일!$B$4:$B$24)&lt;&gt;B684+1,"토요일","일요일"))</f>
        <v>평일</v>
      </c>
      <c r="I684" s="125" t="str">
        <f t="shared" si="45"/>
        <v>2028-05</v>
      </c>
      <c r="J684" s="93" t="str">
        <f t="shared" si="46"/>
        <v>안지영</v>
      </c>
      <c r="K684" s="93" t="str">
        <f t="shared" si="47"/>
        <v>정찬웅</v>
      </c>
      <c r="L684" s="16" t="str">
        <f t="shared" si="48"/>
        <v>화</v>
      </c>
      <c r="M684" s="17" t="str">
        <f>IFERROR(VLOOKUP(B684,공휴일!B:C,2,0),"")</f>
        <v/>
      </c>
    </row>
    <row r="685" spans="2:13" x14ac:dyDescent="0.3">
      <c r="B685" s="142">
        <v>46904</v>
      </c>
      <c r="C685" s="143" t="s">
        <v>41</v>
      </c>
      <c r="D685" s="144"/>
      <c r="E685" s="143" t="s">
        <v>22</v>
      </c>
      <c r="F685" s="144"/>
      <c r="G685" s="147"/>
      <c r="H685" s="148" t="str">
        <f>IF(WORKDAY(B685-1,1,공휴일!$B$4:$B$24)=B685,IF(WORKDAY(B685,1,공휴일!$B$4:$B$24)&lt;&gt;B685+1,"금요일","평일"),IF(WORKDAY(B685,1,공휴일!$B$4:$B$24)&lt;&gt;B685+1,"토요일","일요일"))</f>
        <v>평일</v>
      </c>
      <c r="I685" s="125" t="str">
        <f t="shared" si="45"/>
        <v>2028-05</v>
      </c>
      <c r="J685" s="93" t="str">
        <f t="shared" si="46"/>
        <v>송남철</v>
      </c>
      <c r="K685" s="93" t="str">
        <f t="shared" si="47"/>
        <v>서진호</v>
      </c>
      <c r="L685" s="16" t="str">
        <f t="shared" si="48"/>
        <v>수</v>
      </c>
      <c r="M685" s="17" t="str">
        <f>IFERROR(VLOOKUP(B685,공휴일!B:C,2,0),"")</f>
        <v/>
      </c>
    </row>
    <row r="686" spans="2:13" x14ac:dyDescent="0.3">
      <c r="B686" s="142">
        <v>46905</v>
      </c>
      <c r="C686" s="143" t="s">
        <v>17</v>
      </c>
      <c r="D686" s="144"/>
      <c r="E686" s="143" t="s">
        <v>11</v>
      </c>
      <c r="F686" s="144"/>
      <c r="G686" s="147"/>
      <c r="H686" s="148" t="str">
        <f>IF(WORKDAY(B686-1,1,공휴일!$B$4:$B$24)=B686,IF(WORKDAY(B686,1,공휴일!$B$4:$B$24)&lt;&gt;B686+1,"금요일","평일"),IF(WORKDAY(B686,1,공휴일!$B$4:$B$24)&lt;&gt;B686+1,"토요일","일요일"))</f>
        <v>평일</v>
      </c>
      <c r="I686" s="125" t="str">
        <f t="shared" si="45"/>
        <v>2028-06</v>
      </c>
      <c r="J686" s="93" t="str">
        <f t="shared" si="46"/>
        <v>신혜원</v>
      </c>
      <c r="K686" s="93" t="str">
        <f t="shared" si="47"/>
        <v>장민우</v>
      </c>
      <c r="L686" s="16" t="str">
        <f t="shared" si="48"/>
        <v>목</v>
      </c>
      <c r="M686" s="17" t="str">
        <f>IFERROR(VLOOKUP(B686,공휴일!B:C,2,0),"")</f>
        <v/>
      </c>
    </row>
    <row r="687" spans="2:13" x14ac:dyDescent="0.3">
      <c r="B687" s="142">
        <v>46906</v>
      </c>
      <c r="C687" s="143" t="s">
        <v>40</v>
      </c>
      <c r="D687" s="144"/>
      <c r="E687" s="143" t="s">
        <v>19</v>
      </c>
      <c r="F687" s="144"/>
      <c r="G687" s="147"/>
      <c r="H687" s="148" t="str">
        <f>IF(WORKDAY(B687-1,1,공휴일!$B$4:$B$24)=B687,IF(WORKDAY(B687,1,공휴일!$B$4:$B$24)&lt;&gt;B687+1,"금요일","평일"),IF(WORKDAY(B687,1,공휴일!$B$4:$B$24)&lt;&gt;B687+1,"토요일","일요일"))</f>
        <v>금요일</v>
      </c>
      <c r="I687" s="125" t="str">
        <f t="shared" si="45"/>
        <v>2028-06</v>
      </c>
      <c r="J687" s="93" t="str">
        <f t="shared" si="46"/>
        <v>여철호</v>
      </c>
      <c r="K687" s="93" t="str">
        <f t="shared" si="47"/>
        <v>우정수</v>
      </c>
      <c r="L687" s="16" t="str">
        <f t="shared" si="48"/>
        <v>금</v>
      </c>
      <c r="M687" s="17" t="str">
        <f>IFERROR(VLOOKUP(B687,공휴일!B:C,2,0),"")</f>
        <v/>
      </c>
    </row>
    <row r="688" spans="2:13" x14ac:dyDescent="0.3">
      <c r="B688" s="142">
        <v>46907</v>
      </c>
      <c r="C688" s="143" t="s">
        <v>15</v>
      </c>
      <c r="D688" s="144"/>
      <c r="E688" s="143" t="s">
        <v>44</v>
      </c>
      <c r="F688" s="144"/>
      <c r="G688" s="147"/>
      <c r="H688" s="148" t="str">
        <f>IF(WORKDAY(B688-1,1,공휴일!$B$4:$B$24)=B688,IF(WORKDAY(B688,1,공휴일!$B$4:$B$24)&lt;&gt;B688+1,"금요일","평일"),IF(WORKDAY(B688,1,공휴일!$B$4:$B$24)&lt;&gt;B688+1,"토요일","일요일"))</f>
        <v>토요일</v>
      </c>
      <c r="I688" s="125" t="str">
        <f t="shared" si="45"/>
        <v>2028-06</v>
      </c>
      <c r="J688" s="93" t="str">
        <f t="shared" si="46"/>
        <v>구민아</v>
      </c>
      <c r="K688" s="93" t="str">
        <f t="shared" si="47"/>
        <v>오기희</v>
      </c>
      <c r="L688" s="16" t="str">
        <f t="shared" si="48"/>
        <v>토</v>
      </c>
      <c r="M688" s="17" t="str">
        <f>IFERROR(VLOOKUP(B688,공휴일!B:C,2,0),"")</f>
        <v/>
      </c>
    </row>
    <row r="689" spans="2:13" x14ac:dyDescent="0.3">
      <c r="B689" s="142">
        <v>46908</v>
      </c>
      <c r="C689" s="143" t="s">
        <v>14</v>
      </c>
      <c r="D689" s="144"/>
      <c r="E689" s="143" t="s">
        <v>18</v>
      </c>
      <c r="F689" s="144"/>
      <c r="G689" s="147"/>
      <c r="H689" s="148" t="str">
        <f>IF(WORKDAY(B689-1,1,공휴일!$B$4:$B$24)=B689,IF(WORKDAY(B689,1,공휴일!$B$4:$B$24)&lt;&gt;B689+1,"금요일","평일"),IF(WORKDAY(B689,1,공휴일!$B$4:$B$24)&lt;&gt;B689+1,"토요일","일요일"))</f>
        <v>일요일</v>
      </c>
      <c r="I689" s="125" t="str">
        <f t="shared" si="45"/>
        <v>2028-06</v>
      </c>
      <c r="J689" s="93" t="str">
        <f t="shared" si="46"/>
        <v>고석규</v>
      </c>
      <c r="K689" s="93" t="str">
        <f t="shared" si="47"/>
        <v>이승현</v>
      </c>
      <c r="L689" s="16" t="str">
        <f t="shared" si="48"/>
        <v>일</v>
      </c>
      <c r="M689" s="17" t="str">
        <f>IFERROR(VLOOKUP(B689,공휴일!B:C,2,0),"")</f>
        <v/>
      </c>
    </row>
    <row r="690" spans="2:13" x14ac:dyDescent="0.3">
      <c r="B690" s="142">
        <v>46909</v>
      </c>
      <c r="C690" s="143" t="s">
        <v>12</v>
      </c>
      <c r="D690" s="144"/>
      <c r="E690" s="143" t="s">
        <v>10</v>
      </c>
      <c r="F690" s="144"/>
      <c r="G690" s="147"/>
      <c r="H690" s="148" t="str">
        <f>IF(WORKDAY(B690-1,1,공휴일!$B$4:$B$24)=B690,IF(WORKDAY(B690,1,공휴일!$B$4:$B$24)&lt;&gt;B690+1,"금요일","평일"),IF(WORKDAY(B690,1,공휴일!$B$4:$B$24)&lt;&gt;B690+1,"토요일","일요일"))</f>
        <v>평일</v>
      </c>
      <c r="I690" s="125" t="str">
        <f t="shared" si="45"/>
        <v>2028-06</v>
      </c>
      <c r="J690" s="93" t="str">
        <f t="shared" si="46"/>
        <v>한문영</v>
      </c>
      <c r="K690" s="93" t="str">
        <f t="shared" si="47"/>
        <v>유진수</v>
      </c>
      <c r="L690" s="16" t="str">
        <f t="shared" si="48"/>
        <v>월</v>
      </c>
      <c r="M690" s="17" t="str">
        <f>IFERROR(VLOOKUP(B690,공휴일!B:C,2,0),"")</f>
        <v/>
      </c>
    </row>
    <row r="691" spans="2:13" x14ac:dyDescent="0.3">
      <c r="B691" s="142">
        <v>46910</v>
      </c>
      <c r="C691" s="143" t="s">
        <v>16</v>
      </c>
      <c r="D691" s="144"/>
      <c r="E691" s="143" t="s">
        <v>20</v>
      </c>
      <c r="F691" s="144"/>
      <c r="G691" s="147"/>
      <c r="H691" s="148" t="str">
        <f>IF(WORKDAY(B691-1,1,공휴일!$B$4:$B$24)=B691,IF(WORKDAY(B691,1,공휴일!$B$4:$B$24)&lt;&gt;B691+1,"금요일","평일"),IF(WORKDAY(B691,1,공휴일!$B$4:$B$24)&lt;&gt;B691+1,"토요일","일요일"))</f>
        <v>평일</v>
      </c>
      <c r="I691" s="125" t="str">
        <f t="shared" si="45"/>
        <v>2028-06</v>
      </c>
      <c r="J691" s="93" t="str">
        <f t="shared" si="46"/>
        <v>이현숙</v>
      </c>
      <c r="K691" s="93" t="str">
        <f t="shared" si="47"/>
        <v>이원철</v>
      </c>
      <c r="L691" s="16" t="str">
        <f t="shared" si="48"/>
        <v>화</v>
      </c>
      <c r="M691" s="17" t="str">
        <f>IFERROR(VLOOKUP(B691,공휴일!B:C,2,0),"")</f>
        <v>현충일</v>
      </c>
    </row>
    <row r="692" spans="2:13" x14ac:dyDescent="0.3">
      <c r="B692" s="142">
        <v>46911</v>
      </c>
      <c r="C692" s="143" t="s">
        <v>13</v>
      </c>
      <c r="D692" s="144"/>
      <c r="E692" s="143" t="s">
        <v>21</v>
      </c>
      <c r="F692" s="144"/>
      <c r="G692" s="147"/>
      <c r="H692" s="148" t="str">
        <f>IF(WORKDAY(B692-1,1,공휴일!$B$4:$B$24)=B692,IF(WORKDAY(B692,1,공휴일!$B$4:$B$24)&lt;&gt;B692+1,"금요일","평일"),IF(WORKDAY(B692,1,공휴일!$B$4:$B$24)&lt;&gt;B692+1,"토요일","일요일"))</f>
        <v>평일</v>
      </c>
      <c r="I692" s="125" t="str">
        <f t="shared" si="45"/>
        <v>2028-06</v>
      </c>
      <c r="J692" s="93" t="str">
        <f t="shared" si="46"/>
        <v>안지영</v>
      </c>
      <c r="K692" s="93" t="str">
        <f t="shared" si="47"/>
        <v>정찬웅</v>
      </c>
      <c r="L692" s="16" t="str">
        <f t="shared" si="48"/>
        <v>수</v>
      </c>
      <c r="M692" s="17" t="str">
        <f>IFERROR(VLOOKUP(B692,공휴일!B:C,2,0),"")</f>
        <v/>
      </c>
    </row>
    <row r="693" spans="2:13" x14ac:dyDescent="0.3">
      <c r="B693" s="142">
        <v>46912</v>
      </c>
      <c r="C693" s="143" t="s">
        <v>41</v>
      </c>
      <c r="D693" s="144"/>
      <c r="E693" s="143" t="s">
        <v>22</v>
      </c>
      <c r="F693" s="144"/>
      <c r="G693" s="147"/>
      <c r="H693" s="148" t="str">
        <f>IF(WORKDAY(B693-1,1,공휴일!$B$4:$B$24)=B693,IF(WORKDAY(B693,1,공휴일!$B$4:$B$24)&lt;&gt;B693+1,"금요일","평일"),IF(WORKDAY(B693,1,공휴일!$B$4:$B$24)&lt;&gt;B693+1,"토요일","일요일"))</f>
        <v>평일</v>
      </c>
      <c r="I693" s="125" t="str">
        <f t="shared" si="45"/>
        <v>2028-06</v>
      </c>
      <c r="J693" s="93" t="str">
        <f t="shared" si="46"/>
        <v>송남철</v>
      </c>
      <c r="K693" s="93" t="str">
        <f t="shared" si="47"/>
        <v>서진호</v>
      </c>
      <c r="L693" s="16" t="str">
        <f t="shared" si="48"/>
        <v>목</v>
      </c>
      <c r="M693" s="17" t="str">
        <f>IFERROR(VLOOKUP(B693,공휴일!B:C,2,0),"")</f>
        <v/>
      </c>
    </row>
    <row r="694" spans="2:13" x14ac:dyDescent="0.3">
      <c r="B694" s="142">
        <v>46913</v>
      </c>
      <c r="C694" s="143" t="s">
        <v>17</v>
      </c>
      <c r="D694" s="144"/>
      <c r="E694" s="143" t="s">
        <v>11</v>
      </c>
      <c r="F694" s="144"/>
      <c r="G694" s="147"/>
      <c r="H694" s="148" t="str">
        <f>IF(WORKDAY(B694-1,1,공휴일!$B$4:$B$24)=B694,IF(WORKDAY(B694,1,공휴일!$B$4:$B$24)&lt;&gt;B694+1,"금요일","평일"),IF(WORKDAY(B694,1,공휴일!$B$4:$B$24)&lt;&gt;B694+1,"토요일","일요일"))</f>
        <v>금요일</v>
      </c>
      <c r="I694" s="125" t="str">
        <f t="shared" si="45"/>
        <v>2028-06</v>
      </c>
      <c r="J694" s="93" t="str">
        <f t="shared" si="46"/>
        <v>신혜원</v>
      </c>
      <c r="K694" s="93" t="str">
        <f t="shared" si="47"/>
        <v>장민우</v>
      </c>
      <c r="L694" s="16" t="str">
        <f t="shared" si="48"/>
        <v>금</v>
      </c>
      <c r="M694" s="17" t="str">
        <f>IFERROR(VLOOKUP(B694,공휴일!B:C,2,0),"")</f>
        <v/>
      </c>
    </row>
    <row r="695" spans="2:13" x14ac:dyDescent="0.3">
      <c r="B695" s="142">
        <v>46914</v>
      </c>
      <c r="C695" s="143" t="s">
        <v>40</v>
      </c>
      <c r="D695" s="144"/>
      <c r="E695" s="143" t="s">
        <v>19</v>
      </c>
      <c r="F695" s="144"/>
      <c r="G695" s="147"/>
      <c r="H695" s="148" t="str">
        <f>IF(WORKDAY(B695-1,1,공휴일!$B$4:$B$24)=B695,IF(WORKDAY(B695,1,공휴일!$B$4:$B$24)&lt;&gt;B695+1,"금요일","평일"),IF(WORKDAY(B695,1,공휴일!$B$4:$B$24)&lt;&gt;B695+1,"토요일","일요일"))</f>
        <v>토요일</v>
      </c>
      <c r="I695" s="125" t="str">
        <f t="shared" si="45"/>
        <v>2028-06</v>
      </c>
      <c r="J695" s="93" t="str">
        <f t="shared" si="46"/>
        <v>여철호</v>
      </c>
      <c r="K695" s="93" t="str">
        <f t="shared" si="47"/>
        <v>우정수</v>
      </c>
      <c r="L695" s="16" t="str">
        <f t="shared" si="48"/>
        <v>토</v>
      </c>
      <c r="M695" s="17" t="str">
        <f>IFERROR(VLOOKUP(B695,공휴일!B:C,2,0),"")</f>
        <v/>
      </c>
    </row>
    <row r="696" spans="2:13" x14ac:dyDescent="0.3">
      <c r="B696" s="142">
        <v>46915</v>
      </c>
      <c r="C696" s="143" t="s">
        <v>15</v>
      </c>
      <c r="D696" s="144"/>
      <c r="E696" s="143" t="s">
        <v>44</v>
      </c>
      <c r="F696" s="144"/>
      <c r="G696" s="147"/>
      <c r="H696" s="148" t="str">
        <f>IF(WORKDAY(B696-1,1,공휴일!$B$4:$B$24)=B696,IF(WORKDAY(B696,1,공휴일!$B$4:$B$24)&lt;&gt;B696+1,"금요일","평일"),IF(WORKDAY(B696,1,공휴일!$B$4:$B$24)&lt;&gt;B696+1,"토요일","일요일"))</f>
        <v>일요일</v>
      </c>
      <c r="I696" s="125" t="str">
        <f t="shared" si="45"/>
        <v>2028-06</v>
      </c>
      <c r="J696" s="93" t="str">
        <f t="shared" si="46"/>
        <v>구민아</v>
      </c>
      <c r="K696" s="93" t="str">
        <f t="shared" si="47"/>
        <v>오기희</v>
      </c>
      <c r="L696" s="16" t="str">
        <f t="shared" si="48"/>
        <v>일</v>
      </c>
      <c r="M696" s="17" t="str">
        <f>IFERROR(VLOOKUP(B696,공휴일!B:C,2,0),"")</f>
        <v/>
      </c>
    </row>
    <row r="697" spans="2:13" x14ac:dyDescent="0.3">
      <c r="B697" s="142">
        <v>46916</v>
      </c>
      <c r="C697" s="143" t="s">
        <v>14</v>
      </c>
      <c r="D697" s="144"/>
      <c r="E697" s="143" t="s">
        <v>18</v>
      </c>
      <c r="F697" s="144"/>
      <c r="G697" s="147"/>
      <c r="H697" s="148" t="str">
        <f>IF(WORKDAY(B697-1,1,공휴일!$B$4:$B$24)=B697,IF(WORKDAY(B697,1,공휴일!$B$4:$B$24)&lt;&gt;B697+1,"금요일","평일"),IF(WORKDAY(B697,1,공휴일!$B$4:$B$24)&lt;&gt;B697+1,"토요일","일요일"))</f>
        <v>평일</v>
      </c>
      <c r="I697" s="125" t="str">
        <f t="shared" si="45"/>
        <v>2028-06</v>
      </c>
      <c r="J697" s="93" t="str">
        <f t="shared" si="46"/>
        <v>고석규</v>
      </c>
      <c r="K697" s="93" t="str">
        <f t="shared" si="47"/>
        <v>이승현</v>
      </c>
      <c r="L697" s="16" t="str">
        <f t="shared" si="48"/>
        <v>월</v>
      </c>
      <c r="M697" s="17" t="str">
        <f>IFERROR(VLOOKUP(B697,공휴일!B:C,2,0),"")</f>
        <v/>
      </c>
    </row>
    <row r="698" spans="2:13" x14ac:dyDescent="0.3">
      <c r="B698" s="142">
        <v>46917</v>
      </c>
      <c r="C698" s="143" t="s">
        <v>12</v>
      </c>
      <c r="D698" s="144"/>
      <c r="E698" s="143" t="s">
        <v>10</v>
      </c>
      <c r="F698" s="144"/>
      <c r="G698" s="147"/>
      <c r="H698" s="148" t="str">
        <f>IF(WORKDAY(B698-1,1,공휴일!$B$4:$B$24)=B698,IF(WORKDAY(B698,1,공휴일!$B$4:$B$24)&lt;&gt;B698+1,"금요일","평일"),IF(WORKDAY(B698,1,공휴일!$B$4:$B$24)&lt;&gt;B698+1,"토요일","일요일"))</f>
        <v>평일</v>
      </c>
      <c r="I698" s="125" t="str">
        <f t="shared" si="45"/>
        <v>2028-06</v>
      </c>
      <c r="J698" s="93" t="str">
        <f t="shared" si="46"/>
        <v>한문영</v>
      </c>
      <c r="K698" s="93" t="str">
        <f t="shared" si="47"/>
        <v>유진수</v>
      </c>
      <c r="L698" s="16" t="str">
        <f t="shared" si="48"/>
        <v>화</v>
      </c>
      <c r="M698" s="17" t="str">
        <f>IFERROR(VLOOKUP(B698,공휴일!B:C,2,0),"")</f>
        <v/>
      </c>
    </row>
    <row r="699" spans="2:13" x14ac:dyDescent="0.3">
      <c r="B699" s="142">
        <v>46918</v>
      </c>
      <c r="C699" s="143" t="s">
        <v>16</v>
      </c>
      <c r="D699" s="144"/>
      <c r="E699" s="143" t="s">
        <v>20</v>
      </c>
      <c r="F699" s="144"/>
      <c r="G699" s="147"/>
      <c r="H699" s="148" t="str">
        <f>IF(WORKDAY(B699-1,1,공휴일!$B$4:$B$24)=B699,IF(WORKDAY(B699,1,공휴일!$B$4:$B$24)&lt;&gt;B699+1,"금요일","평일"),IF(WORKDAY(B699,1,공휴일!$B$4:$B$24)&lt;&gt;B699+1,"토요일","일요일"))</f>
        <v>평일</v>
      </c>
      <c r="I699" s="125" t="str">
        <f t="shared" si="45"/>
        <v>2028-06</v>
      </c>
      <c r="J699" s="93" t="str">
        <f t="shared" si="46"/>
        <v>이현숙</v>
      </c>
      <c r="K699" s="93" t="str">
        <f t="shared" si="47"/>
        <v>이원철</v>
      </c>
      <c r="L699" s="16" t="str">
        <f t="shared" si="48"/>
        <v>수</v>
      </c>
      <c r="M699" s="17" t="str">
        <f>IFERROR(VLOOKUP(B699,공휴일!B:C,2,0),"")</f>
        <v/>
      </c>
    </row>
    <row r="700" spans="2:13" x14ac:dyDescent="0.3">
      <c r="B700" s="142">
        <v>46919</v>
      </c>
      <c r="C700" s="143" t="s">
        <v>13</v>
      </c>
      <c r="D700" s="144"/>
      <c r="E700" s="143" t="s">
        <v>21</v>
      </c>
      <c r="F700" s="144"/>
      <c r="G700" s="147"/>
      <c r="H700" s="148" t="str">
        <f>IF(WORKDAY(B700-1,1,공휴일!$B$4:$B$24)=B700,IF(WORKDAY(B700,1,공휴일!$B$4:$B$24)&lt;&gt;B700+1,"금요일","평일"),IF(WORKDAY(B700,1,공휴일!$B$4:$B$24)&lt;&gt;B700+1,"토요일","일요일"))</f>
        <v>평일</v>
      </c>
      <c r="I700" s="125" t="str">
        <f t="shared" si="45"/>
        <v>2028-06</v>
      </c>
      <c r="J700" s="93" t="str">
        <f t="shared" si="46"/>
        <v>안지영</v>
      </c>
      <c r="K700" s="93" t="str">
        <f t="shared" si="47"/>
        <v>정찬웅</v>
      </c>
      <c r="L700" s="16" t="str">
        <f t="shared" si="48"/>
        <v>목</v>
      </c>
      <c r="M700" s="17" t="str">
        <f>IFERROR(VLOOKUP(B700,공휴일!B:C,2,0),"")</f>
        <v/>
      </c>
    </row>
    <row r="701" spans="2:13" x14ac:dyDescent="0.3">
      <c r="B701" s="142">
        <v>46920</v>
      </c>
      <c r="C701" s="143" t="s">
        <v>41</v>
      </c>
      <c r="D701" s="144"/>
      <c r="E701" s="143" t="s">
        <v>22</v>
      </c>
      <c r="F701" s="144"/>
      <c r="G701" s="147"/>
      <c r="H701" s="148" t="str">
        <f>IF(WORKDAY(B701-1,1,공휴일!$B$4:$B$24)=B701,IF(WORKDAY(B701,1,공휴일!$B$4:$B$24)&lt;&gt;B701+1,"금요일","평일"),IF(WORKDAY(B701,1,공휴일!$B$4:$B$24)&lt;&gt;B701+1,"토요일","일요일"))</f>
        <v>금요일</v>
      </c>
      <c r="I701" s="125" t="str">
        <f t="shared" si="45"/>
        <v>2028-06</v>
      </c>
      <c r="J701" s="93" t="str">
        <f t="shared" si="46"/>
        <v>송남철</v>
      </c>
      <c r="K701" s="93" t="str">
        <f t="shared" si="47"/>
        <v>서진호</v>
      </c>
      <c r="L701" s="16" t="str">
        <f t="shared" si="48"/>
        <v>금</v>
      </c>
      <c r="M701" s="17" t="str">
        <f>IFERROR(VLOOKUP(B701,공휴일!B:C,2,0),"")</f>
        <v/>
      </c>
    </row>
    <row r="702" spans="2:13" x14ac:dyDescent="0.3">
      <c r="B702" s="142">
        <v>46921</v>
      </c>
      <c r="C702" s="143" t="s">
        <v>17</v>
      </c>
      <c r="D702" s="144"/>
      <c r="E702" s="143" t="s">
        <v>11</v>
      </c>
      <c r="F702" s="144"/>
      <c r="G702" s="147"/>
      <c r="H702" s="148" t="str">
        <f>IF(WORKDAY(B702-1,1,공휴일!$B$4:$B$24)=B702,IF(WORKDAY(B702,1,공휴일!$B$4:$B$24)&lt;&gt;B702+1,"금요일","평일"),IF(WORKDAY(B702,1,공휴일!$B$4:$B$24)&lt;&gt;B702+1,"토요일","일요일"))</f>
        <v>토요일</v>
      </c>
      <c r="I702" s="125" t="str">
        <f t="shared" si="45"/>
        <v>2028-06</v>
      </c>
      <c r="J702" s="93" t="str">
        <f t="shared" si="46"/>
        <v>신혜원</v>
      </c>
      <c r="K702" s="93" t="str">
        <f t="shared" si="47"/>
        <v>장민우</v>
      </c>
      <c r="L702" s="16" t="str">
        <f t="shared" si="48"/>
        <v>토</v>
      </c>
      <c r="M702" s="17" t="str">
        <f>IFERROR(VLOOKUP(B702,공휴일!B:C,2,0),"")</f>
        <v/>
      </c>
    </row>
    <row r="703" spans="2:13" x14ac:dyDescent="0.3">
      <c r="B703" s="142">
        <v>46922</v>
      </c>
      <c r="C703" s="143" t="s">
        <v>40</v>
      </c>
      <c r="D703" s="144"/>
      <c r="E703" s="143" t="s">
        <v>19</v>
      </c>
      <c r="F703" s="144"/>
      <c r="G703" s="147"/>
      <c r="H703" s="148" t="str">
        <f>IF(WORKDAY(B703-1,1,공휴일!$B$4:$B$24)=B703,IF(WORKDAY(B703,1,공휴일!$B$4:$B$24)&lt;&gt;B703+1,"금요일","평일"),IF(WORKDAY(B703,1,공휴일!$B$4:$B$24)&lt;&gt;B703+1,"토요일","일요일"))</f>
        <v>일요일</v>
      </c>
      <c r="I703" s="125" t="str">
        <f t="shared" si="45"/>
        <v>2028-06</v>
      </c>
      <c r="J703" s="93" t="str">
        <f t="shared" si="46"/>
        <v>여철호</v>
      </c>
      <c r="K703" s="93" t="str">
        <f t="shared" si="47"/>
        <v>우정수</v>
      </c>
      <c r="L703" s="16" t="str">
        <f t="shared" si="48"/>
        <v>일</v>
      </c>
      <c r="M703" s="17" t="str">
        <f>IFERROR(VLOOKUP(B703,공휴일!B:C,2,0),"")</f>
        <v/>
      </c>
    </row>
    <row r="704" spans="2:13" x14ac:dyDescent="0.3">
      <c r="B704" s="142">
        <v>46923</v>
      </c>
      <c r="C704" s="143" t="s">
        <v>15</v>
      </c>
      <c r="D704" s="144"/>
      <c r="E704" s="143" t="s">
        <v>44</v>
      </c>
      <c r="F704" s="144"/>
      <c r="G704" s="147"/>
      <c r="H704" s="148" t="str">
        <f>IF(WORKDAY(B704-1,1,공휴일!$B$4:$B$24)=B704,IF(WORKDAY(B704,1,공휴일!$B$4:$B$24)&lt;&gt;B704+1,"금요일","평일"),IF(WORKDAY(B704,1,공휴일!$B$4:$B$24)&lt;&gt;B704+1,"토요일","일요일"))</f>
        <v>평일</v>
      </c>
      <c r="I704" s="125" t="str">
        <f t="shared" si="45"/>
        <v>2028-06</v>
      </c>
      <c r="J704" s="93" t="str">
        <f t="shared" si="46"/>
        <v>구민아</v>
      </c>
      <c r="K704" s="93" t="str">
        <f t="shared" si="47"/>
        <v>오기희</v>
      </c>
      <c r="L704" s="16" t="str">
        <f t="shared" si="48"/>
        <v>월</v>
      </c>
      <c r="M704" s="17" t="str">
        <f>IFERROR(VLOOKUP(B704,공휴일!B:C,2,0),"")</f>
        <v/>
      </c>
    </row>
    <row r="705" spans="2:13" x14ac:dyDescent="0.3">
      <c r="B705" s="142">
        <v>46924</v>
      </c>
      <c r="C705" s="143" t="s">
        <v>14</v>
      </c>
      <c r="D705" s="144"/>
      <c r="E705" s="143" t="s">
        <v>18</v>
      </c>
      <c r="F705" s="144"/>
      <c r="G705" s="147"/>
      <c r="H705" s="148" t="str">
        <f>IF(WORKDAY(B705-1,1,공휴일!$B$4:$B$24)=B705,IF(WORKDAY(B705,1,공휴일!$B$4:$B$24)&lt;&gt;B705+1,"금요일","평일"),IF(WORKDAY(B705,1,공휴일!$B$4:$B$24)&lt;&gt;B705+1,"토요일","일요일"))</f>
        <v>평일</v>
      </c>
      <c r="I705" s="125" t="str">
        <f t="shared" si="45"/>
        <v>2028-06</v>
      </c>
      <c r="J705" s="93" t="str">
        <f t="shared" si="46"/>
        <v>고석규</v>
      </c>
      <c r="K705" s="93" t="str">
        <f t="shared" si="47"/>
        <v>이승현</v>
      </c>
      <c r="L705" s="16" t="str">
        <f t="shared" si="48"/>
        <v>화</v>
      </c>
      <c r="M705" s="17" t="str">
        <f>IFERROR(VLOOKUP(B705,공휴일!B:C,2,0),"")</f>
        <v/>
      </c>
    </row>
    <row r="706" spans="2:13" x14ac:dyDescent="0.3">
      <c r="B706" s="142">
        <v>46925</v>
      </c>
      <c r="C706" s="143" t="s">
        <v>12</v>
      </c>
      <c r="D706" s="144"/>
      <c r="E706" s="143" t="s">
        <v>10</v>
      </c>
      <c r="F706" s="144"/>
      <c r="G706" s="147"/>
      <c r="H706" s="148" t="str">
        <f>IF(WORKDAY(B706-1,1,공휴일!$B$4:$B$24)=B706,IF(WORKDAY(B706,1,공휴일!$B$4:$B$24)&lt;&gt;B706+1,"금요일","평일"),IF(WORKDAY(B706,1,공휴일!$B$4:$B$24)&lt;&gt;B706+1,"토요일","일요일"))</f>
        <v>평일</v>
      </c>
      <c r="I706" s="125" t="str">
        <f t="shared" si="45"/>
        <v>2028-06</v>
      </c>
      <c r="J706" s="93" t="str">
        <f t="shared" si="46"/>
        <v>한문영</v>
      </c>
      <c r="K706" s="93" t="str">
        <f t="shared" si="47"/>
        <v>유진수</v>
      </c>
      <c r="L706" s="16" t="str">
        <f t="shared" si="48"/>
        <v>수</v>
      </c>
      <c r="M706" s="17" t="str">
        <f>IFERROR(VLOOKUP(B706,공휴일!B:C,2,0),"")</f>
        <v/>
      </c>
    </row>
    <row r="707" spans="2:13" x14ac:dyDescent="0.3">
      <c r="B707" s="142">
        <v>46926</v>
      </c>
      <c r="C707" s="143" t="s">
        <v>16</v>
      </c>
      <c r="D707" s="144"/>
      <c r="E707" s="143" t="s">
        <v>20</v>
      </c>
      <c r="F707" s="144"/>
      <c r="G707" s="147"/>
      <c r="H707" s="148" t="str">
        <f>IF(WORKDAY(B707-1,1,공휴일!$B$4:$B$24)=B707,IF(WORKDAY(B707,1,공휴일!$B$4:$B$24)&lt;&gt;B707+1,"금요일","평일"),IF(WORKDAY(B707,1,공휴일!$B$4:$B$24)&lt;&gt;B707+1,"토요일","일요일"))</f>
        <v>평일</v>
      </c>
      <c r="I707" s="125" t="str">
        <f t="shared" si="45"/>
        <v>2028-06</v>
      </c>
      <c r="J707" s="93" t="str">
        <f t="shared" si="46"/>
        <v>이현숙</v>
      </c>
      <c r="K707" s="93" t="str">
        <f t="shared" si="47"/>
        <v>이원철</v>
      </c>
      <c r="L707" s="16" t="str">
        <f t="shared" si="48"/>
        <v>목</v>
      </c>
      <c r="M707" s="17" t="str">
        <f>IFERROR(VLOOKUP(B707,공휴일!B:C,2,0),"")</f>
        <v/>
      </c>
    </row>
    <row r="708" spans="2:13" x14ac:dyDescent="0.3">
      <c r="B708" s="142">
        <v>46927</v>
      </c>
      <c r="C708" s="143" t="s">
        <v>13</v>
      </c>
      <c r="D708" s="144"/>
      <c r="E708" s="143" t="s">
        <v>21</v>
      </c>
      <c r="F708" s="144"/>
      <c r="G708" s="147"/>
      <c r="H708" s="148" t="str">
        <f>IF(WORKDAY(B708-1,1,공휴일!$B$4:$B$24)=B708,IF(WORKDAY(B708,1,공휴일!$B$4:$B$24)&lt;&gt;B708+1,"금요일","평일"),IF(WORKDAY(B708,1,공휴일!$B$4:$B$24)&lt;&gt;B708+1,"토요일","일요일"))</f>
        <v>금요일</v>
      </c>
      <c r="I708" s="125" t="str">
        <f t="shared" si="45"/>
        <v>2028-06</v>
      </c>
      <c r="J708" s="93" t="str">
        <f t="shared" si="46"/>
        <v>안지영</v>
      </c>
      <c r="K708" s="93" t="str">
        <f t="shared" si="47"/>
        <v>정찬웅</v>
      </c>
      <c r="L708" s="16" t="str">
        <f t="shared" si="48"/>
        <v>금</v>
      </c>
      <c r="M708" s="17" t="str">
        <f>IFERROR(VLOOKUP(B708,공휴일!B:C,2,0),"")</f>
        <v/>
      </c>
    </row>
    <row r="709" spans="2:13" x14ac:dyDescent="0.3">
      <c r="B709" s="142">
        <v>46928</v>
      </c>
      <c r="C709" s="143" t="s">
        <v>41</v>
      </c>
      <c r="D709" s="144"/>
      <c r="E709" s="143" t="s">
        <v>22</v>
      </c>
      <c r="F709" s="144"/>
      <c r="G709" s="147"/>
      <c r="H709" s="148" t="str">
        <f>IF(WORKDAY(B709-1,1,공휴일!$B$4:$B$24)=B709,IF(WORKDAY(B709,1,공휴일!$B$4:$B$24)&lt;&gt;B709+1,"금요일","평일"),IF(WORKDAY(B709,1,공휴일!$B$4:$B$24)&lt;&gt;B709+1,"토요일","일요일"))</f>
        <v>토요일</v>
      </c>
      <c r="I709" s="125" t="str">
        <f t="shared" si="45"/>
        <v>2028-06</v>
      </c>
      <c r="J709" s="93" t="str">
        <f t="shared" si="46"/>
        <v>송남철</v>
      </c>
      <c r="K709" s="93" t="str">
        <f t="shared" si="47"/>
        <v>서진호</v>
      </c>
      <c r="L709" s="16" t="str">
        <f t="shared" si="48"/>
        <v>토</v>
      </c>
      <c r="M709" s="17" t="str">
        <f>IFERROR(VLOOKUP(B709,공휴일!B:C,2,0),"")</f>
        <v/>
      </c>
    </row>
    <row r="710" spans="2:13" x14ac:dyDescent="0.3">
      <c r="B710" s="142">
        <v>46929</v>
      </c>
      <c r="C710" s="143" t="s">
        <v>17</v>
      </c>
      <c r="D710" s="144"/>
      <c r="E710" s="143" t="s">
        <v>11</v>
      </c>
      <c r="F710" s="144"/>
      <c r="G710" s="147"/>
      <c r="H710" s="148" t="str">
        <f>IF(WORKDAY(B710-1,1,공휴일!$B$4:$B$24)=B710,IF(WORKDAY(B710,1,공휴일!$B$4:$B$24)&lt;&gt;B710+1,"금요일","평일"),IF(WORKDAY(B710,1,공휴일!$B$4:$B$24)&lt;&gt;B710+1,"토요일","일요일"))</f>
        <v>일요일</v>
      </c>
      <c r="I710" s="125" t="str">
        <f t="shared" ref="I710:I773" si="49">TEXT(B710,"yyyy-mm")</f>
        <v>2028-06</v>
      </c>
      <c r="J710" s="93" t="str">
        <f t="shared" si="46"/>
        <v>신혜원</v>
      </c>
      <c r="K710" s="93" t="str">
        <f t="shared" si="47"/>
        <v>장민우</v>
      </c>
      <c r="L710" s="16" t="str">
        <f t="shared" si="48"/>
        <v>일</v>
      </c>
      <c r="M710" s="17" t="str">
        <f>IFERROR(VLOOKUP(B710,공휴일!B:C,2,0),"")</f>
        <v/>
      </c>
    </row>
    <row r="711" spans="2:13" x14ac:dyDescent="0.3">
      <c r="B711" s="142">
        <v>46930</v>
      </c>
      <c r="C711" s="143" t="s">
        <v>40</v>
      </c>
      <c r="D711" s="144"/>
      <c r="E711" s="143" t="s">
        <v>19</v>
      </c>
      <c r="F711" s="144"/>
      <c r="G711" s="147"/>
      <c r="H711" s="148" t="str">
        <f>IF(WORKDAY(B711-1,1,공휴일!$B$4:$B$24)=B711,IF(WORKDAY(B711,1,공휴일!$B$4:$B$24)&lt;&gt;B711+1,"금요일","평일"),IF(WORKDAY(B711,1,공휴일!$B$4:$B$24)&lt;&gt;B711+1,"토요일","일요일"))</f>
        <v>평일</v>
      </c>
      <c r="I711" s="125" t="str">
        <f t="shared" si="49"/>
        <v>2028-06</v>
      </c>
      <c r="J711" s="93" t="str">
        <f t="shared" si="46"/>
        <v>여철호</v>
      </c>
      <c r="K711" s="93" t="str">
        <f t="shared" si="47"/>
        <v>우정수</v>
      </c>
      <c r="L711" s="16" t="str">
        <f t="shared" si="48"/>
        <v>월</v>
      </c>
      <c r="M711" s="17" t="str">
        <f>IFERROR(VLOOKUP(B711,공휴일!B:C,2,0),"")</f>
        <v/>
      </c>
    </row>
    <row r="712" spans="2:13" x14ac:dyDescent="0.3">
      <c r="B712" s="142">
        <v>46931</v>
      </c>
      <c r="C712" s="143" t="s">
        <v>15</v>
      </c>
      <c r="D712" s="144"/>
      <c r="E712" s="143" t="s">
        <v>44</v>
      </c>
      <c r="F712" s="144"/>
      <c r="G712" s="147"/>
      <c r="H712" s="148" t="str">
        <f>IF(WORKDAY(B712-1,1,공휴일!$B$4:$B$24)=B712,IF(WORKDAY(B712,1,공휴일!$B$4:$B$24)&lt;&gt;B712+1,"금요일","평일"),IF(WORKDAY(B712,1,공휴일!$B$4:$B$24)&lt;&gt;B712+1,"토요일","일요일"))</f>
        <v>평일</v>
      </c>
      <c r="I712" s="125" t="str">
        <f t="shared" si="49"/>
        <v>2028-06</v>
      </c>
      <c r="J712" s="93" t="str">
        <f t="shared" si="46"/>
        <v>구민아</v>
      </c>
      <c r="K712" s="93" t="str">
        <f t="shared" si="47"/>
        <v>오기희</v>
      </c>
      <c r="L712" s="16" t="str">
        <f t="shared" si="48"/>
        <v>화</v>
      </c>
      <c r="M712" s="17" t="str">
        <f>IFERROR(VLOOKUP(B712,공휴일!B:C,2,0),"")</f>
        <v/>
      </c>
    </row>
    <row r="713" spans="2:13" x14ac:dyDescent="0.3">
      <c r="B713" s="142">
        <v>46932</v>
      </c>
      <c r="C713" s="143" t="s">
        <v>14</v>
      </c>
      <c r="D713" s="144"/>
      <c r="E713" s="143" t="s">
        <v>18</v>
      </c>
      <c r="F713" s="144"/>
      <c r="G713" s="147"/>
      <c r="H713" s="148" t="str">
        <f>IF(WORKDAY(B713-1,1,공휴일!$B$4:$B$24)=B713,IF(WORKDAY(B713,1,공휴일!$B$4:$B$24)&lt;&gt;B713+1,"금요일","평일"),IF(WORKDAY(B713,1,공휴일!$B$4:$B$24)&lt;&gt;B713+1,"토요일","일요일"))</f>
        <v>평일</v>
      </c>
      <c r="I713" s="125" t="str">
        <f t="shared" si="49"/>
        <v>2028-06</v>
      </c>
      <c r="J713" s="93" t="str">
        <f t="shared" si="46"/>
        <v>고석규</v>
      </c>
      <c r="K713" s="93" t="str">
        <f t="shared" si="47"/>
        <v>이승현</v>
      </c>
      <c r="L713" s="16" t="str">
        <f t="shared" si="48"/>
        <v>수</v>
      </c>
      <c r="M713" s="17" t="str">
        <f>IFERROR(VLOOKUP(B713,공휴일!B:C,2,0),"")</f>
        <v/>
      </c>
    </row>
    <row r="714" spans="2:13" x14ac:dyDescent="0.3">
      <c r="B714" s="142">
        <v>46933</v>
      </c>
      <c r="C714" s="143" t="s">
        <v>12</v>
      </c>
      <c r="D714" s="144"/>
      <c r="E714" s="143" t="s">
        <v>10</v>
      </c>
      <c r="F714" s="144"/>
      <c r="G714" s="147"/>
      <c r="H714" s="148" t="str">
        <f>IF(WORKDAY(B714-1,1,공휴일!$B$4:$B$24)=B714,IF(WORKDAY(B714,1,공휴일!$B$4:$B$24)&lt;&gt;B714+1,"금요일","평일"),IF(WORKDAY(B714,1,공휴일!$B$4:$B$24)&lt;&gt;B714+1,"토요일","일요일"))</f>
        <v>평일</v>
      </c>
      <c r="I714" s="125" t="str">
        <f t="shared" si="49"/>
        <v>2028-06</v>
      </c>
      <c r="J714" s="93" t="str">
        <f t="shared" si="46"/>
        <v>한문영</v>
      </c>
      <c r="K714" s="93" t="str">
        <f t="shared" si="47"/>
        <v>유진수</v>
      </c>
      <c r="L714" s="16" t="str">
        <f t="shared" si="48"/>
        <v>목</v>
      </c>
      <c r="M714" s="17" t="str">
        <f>IFERROR(VLOOKUP(B714,공휴일!B:C,2,0),"")</f>
        <v/>
      </c>
    </row>
    <row r="715" spans="2:13" x14ac:dyDescent="0.3">
      <c r="B715" s="142">
        <v>46934</v>
      </c>
      <c r="C715" s="143" t="s">
        <v>16</v>
      </c>
      <c r="D715" s="144"/>
      <c r="E715" s="143" t="s">
        <v>20</v>
      </c>
      <c r="F715" s="144"/>
      <c r="G715" s="147"/>
      <c r="H715" s="148" t="str">
        <f>IF(WORKDAY(B715-1,1,공휴일!$B$4:$B$24)=B715,IF(WORKDAY(B715,1,공휴일!$B$4:$B$24)&lt;&gt;B715+1,"금요일","평일"),IF(WORKDAY(B715,1,공휴일!$B$4:$B$24)&lt;&gt;B715+1,"토요일","일요일"))</f>
        <v>금요일</v>
      </c>
      <c r="I715" s="125" t="str">
        <f t="shared" si="49"/>
        <v>2028-06</v>
      </c>
      <c r="J715" s="93" t="str">
        <f t="shared" si="46"/>
        <v>이현숙</v>
      </c>
      <c r="K715" s="93" t="str">
        <f t="shared" si="47"/>
        <v>이원철</v>
      </c>
      <c r="L715" s="16" t="str">
        <f t="shared" si="48"/>
        <v>금</v>
      </c>
      <c r="M715" s="17" t="str">
        <f>IFERROR(VLOOKUP(B715,공휴일!B:C,2,0),"")</f>
        <v/>
      </c>
    </row>
    <row r="716" spans="2:13" x14ac:dyDescent="0.3">
      <c r="B716" s="142">
        <v>46935</v>
      </c>
      <c r="C716" s="143" t="s">
        <v>13</v>
      </c>
      <c r="D716" s="144"/>
      <c r="E716" s="143" t="s">
        <v>21</v>
      </c>
      <c r="F716" s="144"/>
      <c r="G716" s="147"/>
      <c r="H716" s="148" t="str">
        <f>IF(WORKDAY(B716-1,1,공휴일!$B$4:$B$24)=B716,IF(WORKDAY(B716,1,공휴일!$B$4:$B$24)&lt;&gt;B716+1,"금요일","평일"),IF(WORKDAY(B716,1,공휴일!$B$4:$B$24)&lt;&gt;B716+1,"토요일","일요일"))</f>
        <v>토요일</v>
      </c>
      <c r="I716" s="125" t="str">
        <f t="shared" si="49"/>
        <v>2028-07</v>
      </c>
      <c r="J716" s="93" t="str">
        <f t="shared" si="46"/>
        <v>안지영</v>
      </c>
      <c r="K716" s="93" t="str">
        <f t="shared" si="47"/>
        <v>정찬웅</v>
      </c>
      <c r="L716" s="16" t="str">
        <f t="shared" si="48"/>
        <v>토</v>
      </c>
      <c r="M716" s="17" t="str">
        <f>IFERROR(VLOOKUP(B716,공휴일!B:C,2,0),"")</f>
        <v/>
      </c>
    </row>
    <row r="717" spans="2:13" x14ac:dyDescent="0.3">
      <c r="B717" s="142">
        <v>46936</v>
      </c>
      <c r="C717" s="143" t="s">
        <v>41</v>
      </c>
      <c r="D717" s="144"/>
      <c r="E717" s="143" t="s">
        <v>22</v>
      </c>
      <c r="F717" s="144"/>
      <c r="G717" s="147"/>
      <c r="H717" s="148" t="str">
        <f>IF(WORKDAY(B717-1,1,공휴일!$B$4:$B$24)=B717,IF(WORKDAY(B717,1,공휴일!$B$4:$B$24)&lt;&gt;B717+1,"금요일","평일"),IF(WORKDAY(B717,1,공휴일!$B$4:$B$24)&lt;&gt;B717+1,"토요일","일요일"))</f>
        <v>일요일</v>
      </c>
      <c r="I717" s="125" t="str">
        <f t="shared" si="49"/>
        <v>2028-07</v>
      </c>
      <c r="J717" s="93" t="str">
        <f t="shared" si="46"/>
        <v>송남철</v>
      </c>
      <c r="K717" s="93" t="str">
        <f t="shared" si="47"/>
        <v>서진호</v>
      </c>
      <c r="L717" s="16" t="str">
        <f t="shared" si="48"/>
        <v>일</v>
      </c>
      <c r="M717" s="17" t="str">
        <f>IFERROR(VLOOKUP(B717,공휴일!B:C,2,0),"")</f>
        <v/>
      </c>
    </row>
    <row r="718" spans="2:13" x14ac:dyDescent="0.3">
      <c r="B718" s="142">
        <v>46937</v>
      </c>
      <c r="C718" s="143" t="s">
        <v>17</v>
      </c>
      <c r="D718" s="144"/>
      <c r="E718" s="143" t="s">
        <v>11</v>
      </c>
      <c r="F718" s="144"/>
      <c r="G718" s="147"/>
      <c r="H718" s="148" t="str">
        <f>IF(WORKDAY(B718-1,1,공휴일!$B$4:$B$24)=B718,IF(WORKDAY(B718,1,공휴일!$B$4:$B$24)&lt;&gt;B718+1,"금요일","평일"),IF(WORKDAY(B718,1,공휴일!$B$4:$B$24)&lt;&gt;B718+1,"토요일","일요일"))</f>
        <v>평일</v>
      </c>
      <c r="I718" s="125" t="str">
        <f t="shared" si="49"/>
        <v>2028-07</v>
      </c>
      <c r="J718" s="93" t="str">
        <f t="shared" si="46"/>
        <v>신혜원</v>
      </c>
      <c r="K718" s="93" t="str">
        <f t="shared" si="47"/>
        <v>장민우</v>
      </c>
      <c r="L718" s="16" t="str">
        <f t="shared" si="48"/>
        <v>월</v>
      </c>
      <c r="M718" s="17" t="str">
        <f>IFERROR(VLOOKUP(B718,공휴일!B:C,2,0),"")</f>
        <v/>
      </c>
    </row>
    <row r="719" spans="2:13" x14ac:dyDescent="0.3">
      <c r="B719" s="142">
        <v>46938</v>
      </c>
      <c r="C719" s="143" t="s">
        <v>40</v>
      </c>
      <c r="D719" s="144"/>
      <c r="E719" s="143" t="s">
        <v>19</v>
      </c>
      <c r="F719" s="144"/>
      <c r="G719" s="147"/>
      <c r="H719" s="148" t="str">
        <f>IF(WORKDAY(B719-1,1,공휴일!$B$4:$B$24)=B719,IF(WORKDAY(B719,1,공휴일!$B$4:$B$24)&lt;&gt;B719+1,"금요일","평일"),IF(WORKDAY(B719,1,공휴일!$B$4:$B$24)&lt;&gt;B719+1,"토요일","일요일"))</f>
        <v>평일</v>
      </c>
      <c r="I719" s="125" t="str">
        <f t="shared" si="49"/>
        <v>2028-07</v>
      </c>
      <c r="J719" s="93" t="str">
        <f t="shared" si="46"/>
        <v>여철호</v>
      </c>
      <c r="K719" s="93" t="str">
        <f t="shared" si="47"/>
        <v>우정수</v>
      </c>
      <c r="L719" s="16" t="str">
        <f t="shared" si="48"/>
        <v>화</v>
      </c>
      <c r="M719" s="17" t="str">
        <f>IFERROR(VLOOKUP(B719,공휴일!B:C,2,0),"")</f>
        <v/>
      </c>
    </row>
    <row r="720" spans="2:13" x14ac:dyDescent="0.3">
      <c r="B720" s="142">
        <v>46939</v>
      </c>
      <c r="C720" s="143" t="s">
        <v>15</v>
      </c>
      <c r="D720" s="144"/>
      <c r="E720" s="143" t="s">
        <v>44</v>
      </c>
      <c r="F720" s="144"/>
      <c r="G720" s="147"/>
      <c r="H720" s="148" t="str">
        <f>IF(WORKDAY(B720-1,1,공휴일!$B$4:$B$24)=B720,IF(WORKDAY(B720,1,공휴일!$B$4:$B$24)&lt;&gt;B720+1,"금요일","평일"),IF(WORKDAY(B720,1,공휴일!$B$4:$B$24)&lt;&gt;B720+1,"토요일","일요일"))</f>
        <v>평일</v>
      </c>
      <c r="I720" s="125" t="str">
        <f t="shared" si="49"/>
        <v>2028-07</v>
      </c>
      <c r="J720" s="93" t="str">
        <f t="shared" si="46"/>
        <v>구민아</v>
      </c>
      <c r="K720" s="93" t="str">
        <f t="shared" si="47"/>
        <v>오기희</v>
      </c>
      <c r="L720" s="16" t="str">
        <f t="shared" si="48"/>
        <v>수</v>
      </c>
      <c r="M720" s="17" t="str">
        <f>IFERROR(VLOOKUP(B720,공휴일!B:C,2,0),"")</f>
        <v/>
      </c>
    </row>
    <row r="721" spans="2:13" x14ac:dyDescent="0.3">
      <c r="B721" s="142">
        <v>46940</v>
      </c>
      <c r="C721" s="143" t="s">
        <v>14</v>
      </c>
      <c r="D721" s="144"/>
      <c r="E721" s="143" t="s">
        <v>18</v>
      </c>
      <c r="F721" s="144"/>
      <c r="G721" s="147"/>
      <c r="H721" s="148" t="str">
        <f>IF(WORKDAY(B721-1,1,공휴일!$B$4:$B$24)=B721,IF(WORKDAY(B721,1,공휴일!$B$4:$B$24)&lt;&gt;B721+1,"금요일","평일"),IF(WORKDAY(B721,1,공휴일!$B$4:$B$24)&lt;&gt;B721+1,"토요일","일요일"))</f>
        <v>평일</v>
      </c>
      <c r="I721" s="125" t="str">
        <f t="shared" si="49"/>
        <v>2028-07</v>
      </c>
      <c r="J721" s="93" t="str">
        <f t="shared" si="46"/>
        <v>고석규</v>
      </c>
      <c r="K721" s="93" t="str">
        <f t="shared" si="47"/>
        <v>이승현</v>
      </c>
      <c r="L721" s="16" t="str">
        <f t="shared" si="48"/>
        <v>목</v>
      </c>
      <c r="M721" s="17" t="str">
        <f>IFERROR(VLOOKUP(B721,공휴일!B:C,2,0),"")</f>
        <v/>
      </c>
    </row>
    <row r="722" spans="2:13" x14ac:dyDescent="0.3">
      <c r="B722" s="142">
        <v>46941</v>
      </c>
      <c r="C722" s="143" t="s">
        <v>12</v>
      </c>
      <c r="D722" s="144"/>
      <c r="E722" s="143" t="s">
        <v>10</v>
      </c>
      <c r="F722" s="144"/>
      <c r="G722" s="147"/>
      <c r="H722" s="148" t="str">
        <f>IF(WORKDAY(B722-1,1,공휴일!$B$4:$B$24)=B722,IF(WORKDAY(B722,1,공휴일!$B$4:$B$24)&lt;&gt;B722+1,"금요일","평일"),IF(WORKDAY(B722,1,공휴일!$B$4:$B$24)&lt;&gt;B722+1,"토요일","일요일"))</f>
        <v>금요일</v>
      </c>
      <c r="I722" s="125" t="str">
        <f t="shared" si="49"/>
        <v>2028-07</v>
      </c>
      <c r="J722" s="93" t="str">
        <f t="shared" si="46"/>
        <v>한문영</v>
      </c>
      <c r="K722" s="93" t="str">
        <f t="shared" si="47"/>
        <v>유진수</v>
      </c>
      <c r="L722" s="16" t="str">
        <f t="shared" si="48"/>
        <v>금</v>
      </c>
      <c r="M722" s="17" t="str">
        <f>IFERROR(VLOOKUP(B722,공휴일!B:C,2,0),"")</f>
        <v/>
      </c>
    </row>
    <row r="723" spans="2:13" x14ac:dyDescent="0.3">
      <c r="B723" s="142">
        <v>46942</v>
      </c>
      <c r="C723" s="143" t="s">
        <v>16</v>
      </c>
      <c r="D723" s="144"/>
      <c r="E723" s="143" t="s">
        <v>20</v>
      </c>
      <c r="F723" s="144"/>
      <c r="G723" s="147"/>
      <c r="H723" s="148" t="str">
        <f>IF(WORKDAY(B723-1,1,공휴일!$B$4:$B$24)=B723,IF(WORKDAY(B723,1,공휴일!$B$4:$B$24)&lt;&gt;B723+1,"금요일","평일"),IF(WORKDAY(B723,1,공휴일!$B$4:$B$24)&lt;&gt;B723+1,"토요일","일요일"))</f>
        <v>토요일</v>
      </c>
      <c r="I723" s="125" t="str">
        <f t="shared" si="49"/>
        <v>2028-07</v>
      </c>
      <c r="J723" s="93" t="str">
        <f t="shared" si="46"/>
        <v>이현숙</v>
      </c>
      <c r="K723" s="93" t="str">
        <f t="shared" si="47"/>
        <v>이원철</v>
      </c>
      <c r="L723" s="16" t="str">
        <f t="shared" si="48"/>
        <v>토</v>
      </c>
      <c r="M723" s="17" t="str">
        <f>IFERROR(VLOOKUP(B723,공휴일!B:C,2,0),"")</f>
        <v/>
      </c>
    </row>
    <row r="724" spans="2:13" x14ac:dyDescent="0.3">
      <c r="B724" s="142">
        <v>46943</v>
      </c>
      <c r="C724" s="143" t="s">
        <v>13</v>
      </c>
      <c r="D724" s="144"/>
      <c r="E724" s="143" t="s">
        <v>21</v>
      </c>
      <c r="F724" s="144"/>
      <c r="G724" s="147"/>
      <c r="H724" s="148" t="str">
        <f>IF(WORKDAY(B724-1,1,공휴일!$B$4:$B$24)=B724,IF(WORKDAY(B724,1,공휴일!$B$4:$B$24)&lt;&gt;B724+1,"금요일","평일"),IF(WORKDAY(B724,1,공휴일!$B$4:$B$24)&lt;&gt;B724+1,"토요일","일요일"))</f>
        <v>일요일</v>
      </c>
      <c r="I724" s="125" t="str">
        <f t="shared" si="49"/>
        <v>2028-07</v>
      </c>
      <c r="J724" s="93" t="str">
        <f t="shared" si="46"/>
        <v>안지영</v>
      </c>
      <c r="K724" s="93" t="str">
        <f t="shared" si="47"/>
        <v>정찬웅</v>
      </c>
      <c r="L724" s="16" t="str">
        <f t="shared" si="48"/>
        <v>일</v>
      </c>
      <c r="M724" s="17" t="str">
        <f>IFERROR(VLOOKUP(B724,공휴일!B:C,2,0),"")</f>
        <v/>
      </c>
    </row>
    <row r="725" spans="2:13" x14ac:dyDescent="0.3">
      <c r="B725" s="142">
        <v>46944</v>
      </c>
      <c r="C725" s="143" t="s">
        <v>41</v>
      </c>
      <c r="D725" s="144"/>
      <c r="E725" s="143" t="s">
        <v>22</v>
      </c>
      <c r="F725" s="144"/>
      <c r="G725" s="147"/>
      <c r="H725" s="148" t="str">
        <f>IF(WORKDAY(B725-1,1,공휴일!$B$4:$B$24)=B725,IF(WORKDAY(B725,1,공휴일!$B$4:$B$24)&lt;&gt;B725+1,"금요일","평일"),IF(WORKDAY(B725,1,공휴일!$B$4:$B$24)&lt;&gt;B725+1,"토요일","일요일"))</f>
        <v>평일</v>
      </c>
      <c r="I725" s="125" t="str">
        <f t="shared" si="49"/>
        <v>2028-07</v>
      </c>
      <c r="J725" s="93" t="str">
        <f t="shared" si="46"/>
        <v>송남철</v>
      </c>
      <c r="K725" s="93" t="str">
        <f t="shared" si="47"/>
        <v>서진호</v>
      </c>
      <c r="L725" s="16" t="str">
        <f t="shared" si="48"/>
        <v>월</v>
      </c>
      <c r="M725" s="17" t="str">
        <f>IFERROR(VLOOKUP(B725,공휴일!B:C,2,0),"")</f>
        <v/>
      </c>
    </row>
    <row r="726" spans="2:13" x14ac:dyDescent="0.3">
      <c r="B726" s="142">
        <v>46945</v>
      </c>
      <c r="C726" s="143" t="s">
        <v>17</v>
      </c>
      <c r="D726" s="144"/>
      <c r="E726" s="143" t="s">
        <v>11</v>
      </c>
      <c r="F726" s="144"/>
      <c r="G726" s="147"/>
      <c r="H726" s="148" t="str">
        <f>IF(WORKDAY(B726-1,1,공휴일!$B$4:$B$24)=B726,IF(WORKDAY(B726,1,공휴일!$B$4:$B$24)&lt;&gt;B726+1,"금요일","평일"),IF(WORKDAY(B726,1,공휴일!$B$4:$B$24)&lt;&gt;B726+1,"토요일","일요일"))</f>
        <v>평일</v>
      </c>
      <c r="I726" s="125" t="str">
        <f t="shared" si="49"/>
        <v>2028-07</v>
      </c>
      <c r="J726" s="93" t="str">
        <f t="shared" si="46"/>
        <v>신혜원</v>
      </c>
      <c r="K726" s="93" t="str">
        <f t="shared" si="47"/>
        <v>장민우</v>
      </c>
      <c r="L726" s="16" t="str">
        <f t="shared" si="48"/>
        <v>화</v>
      </c>
      <c r="M726" s="17" t="str">
        <f>IFERROR(VLOOKUP(B726,공휴일!B:C,2,0),"")</f>
        <v/>
      </c>
    </row>
    <row r="727" spans="2:13" x14ac:dyDescent="0.3">
      <c r="B727" s="142">
        <v>46946</v>
      </c>
      <c r="C727" s="143" t="s">
        <v>40</v>
      </c>
      <c r="D727" s="144"/>
      <c r="E727" s="143" t="s">
        <v>19</v>
      </c>
      <c r="F727" s="144"/>
      <c r="G727" s="147"/>
      <c r="H727" s="148" t="str">
        <f>IF(WORKDAY(B727-1,1,공휴일!$B$4:$B$24)=B727,IF(WORKDAY(B727,1,공휴일!$B$4:$B$24)&lt;&gt;B727+1,"금요일","평일"),IF(WORKDAY(B727,1,공휴일!$B$4:$B$24)&lt;&gt;B727+1,"토요일","일요일"))</f>
        <v>평일</v>
      </c>
      <c r="I727" s="125" t="str">
        <f t="shared" si="49"/>
        <v>2028-07</v>
      </c>
      <c r="J727" s="93" t="str">
        <f t="shared" si="46"/>
        <v>여철호</v>
      </c>
      <c r="K727" s="93" t="str">
        <f t="shared" si="47"/>
        <v>우정수</v>
      </c>
      <c r="L727" s="16" t="str">
        <f t="shared" si="48"/>
        <v>수</v>
      </c>
      <c r="M727" s="17" t="str">
        <f>IFERROR(VLOOKUP(B727,공휴일!B:C,2,0),"")</f>
        <v/>
      </c>
    </row>
    <row r="728" spans="2:13" x14ac:dyDescent="0.3">
      <c r="B728" s="142">
        <v>46947</v>
      </c>
      <c r="C728" s="143" t="s">
        <v>15</v>
      </c>
      <c r="D728" s="144"/>
      <c r="E728" s="143" t="s">
        <v>44</v>
      </c>
      <c r="F728" s="144"/>
      <c r="G728" s="147"/>
      <c r="H728" s="148" t="str">
        <f>IF(WORKDAY(B728-1,1,공휴일!$B$4:$B$24)=B728,IF(WORKDAY(B728,1,공휴일!$B$4:$B$24)&lt;&gt;B728+1,"금요일","평일"),IF(WORKDAY(B728,1,공휴일!$B$4:$B$24)&lt;&gt;B728+1,"토요일","일요일"))</f>
        <v>평일</v>
      </c>
      <c r="I728" s="125" t="str">
        <f t="shared" si="49"/>
        <v>2028-07</v>
      </c>
      <c r="J728" s="93" t="str">
        <f t="shared" si="46"/>
        <v>구민아</v>
      </c>
      <c r="K728" s="93" t="str">
        <f t="shared" si="47"/>
        <v>오기희</v>
      </c>
      <c r="L728" s="16" t="str">
        <f t="shared" si="48"/>
        <v>목</v>
      </c>
      <c r="M728" s="17" t="str">
        <f>IFERROR(VLOOKUP(B728,공휴일!B:C,2,0),"")</f>
        <v/>
      </c>
    </row>
    <row r="729" spans="2:13" x14ac:dyDescent="0.3">
      <c r="B729" s="142">
        <v>46948</v>
      </c>
      <c r="C729" s="143" t="s">
        <v>14</v>
      </c>
      <c r="D729" s="144"/>
      <c r="E729" s="143" t="s">
        <v>18</v>
      </c>
      <c r="F729" s="144"/>
      <c r="G729" s="147"/>
      <c r="H729" s="148" t="str">
        <f>IF(WORKDAY(B729-1,1,공휴일!$B$4:$B$24)=B729,IF(WORKDAY(B729,1,공휴일!$B$4:$B$24)&lt;&gt;B729+1,"금요일","평일"),IF(WORKDAY(B729,1,공휴일!$B$4:$B$24)&lt;&gt;B729+1,"토요일","일요일"))</f>
        <v>금요일</v>
      </c>
      <c r="I729" s="125" t="str">
        <f t="shared" si="49"/>
        <v>2028-07</v>
      </c>
      <c r="J729" s="93" t="str">
        <f t="shared" si="46"/>
        <v>고석규</v>
      </c>
      <c r="K729" s="93" t="str">
        <f t="shared" si="47"/>
        <v>이승현</v>
      </c>
      <c r="L729" s="16" t="str">
        <f t="shared" si="48"/>
        <v>금</v>
      </c>
      <c r="M729" s="17" t="str">
        <f>IFERROR(VLOOKUP(B729,공휴일!B:C,2,0),"")</f>
        <v/>
      </c>
    </row>
    <row r="730" spans="2:13" x14ac:dyDescent="0.3">
      <c r="B730" s="142">
        <v>46949</v>
      </c>
      <c r="C730" s="143" t="s">
        <v>12</v>
      </c>
      <c r="D730" s="144"/>
      <c r="E730" s="143" t="s">
        <v>10</v>
      </c>
      <c r="F730" s="144"/>
      <c r="G730" s="147"/>
      <c r="H730" s="148" t="str">
        <f>IF(WORKDAY(B730-1,1,공휴일!$B$4:$B$24)=B730,IF(WORKDAY(B730,1,공휴일!$B$4:$B$24)&lt;&gt;B730+1,"금요일","평일"),IF(WORKDAY(B730,1,공휴일!$B$4:$B$24)&lt;&gt;B730+1,"토요일","일요일"))</f>
        <v>토요일</v>
      </c>
      <c r="I730" s="125" t="str">
        <f t="shared" si="49"/>
        <v>2028-07</v>
      </c>
      <c r="J730" s="93" t="str">
        <f t="shared" si="46"/>
        <v>한문영</v>
      </c>
      <c r="K730" s="93" t="str">
        <f t="shared" si="47"/>
        <v>유진수</v>
      </c>
      <c r="L730" s="16" t="str">
        <f t="shared" si="48"/>
        <v>토</v>
      </c>
      <c r="M730" s="17" t="str">
        <f>IFERROR(VLOOKUP(B730,공휴일!B:C,2,0),"")</f>
        <v/>
      </c>
    </row>
    <row r="731" spans="2:13" x14ac:dyDescent="0.3">
      <c r="B731" s="142">
        <v>46950</v>
      </c>
      <c r="C731" s="143" t="s">
        <v>16</v>
      </c>
      <c r="D731" s="144"/>
      <c r="E731" s="143" t="s">
        <v>20</v>
      </c>
      <c r="F731" s="144"/>
      <c r="G731" s="147"/>
      <c r="H731" s="148" t="str">
        <f>IF(WORKDAY(B731-1,1,공휴일!$B$4:$B$24)=B731,IF(WORKDAY(B731,1,공휴일!$B$4:$B$24)&lt;&gt;B731+1,"금요일","평일"),IF(WORKDAY(B731,1,공휴일!$B$4:$B$24)&lt;&gt;B731+1,"토요일","일요일"))</f>
        <v>일요일</v>
      </c>
      <c r="I731" s="125" t="str">
        <f t="shared" si="49"/>
        <v>2028-07</v>
      </c>
      <c r="J731" s="93" t="str">
        <f t="shared" si="46"/>
        <v>이현숙</v>
      </c>
      <c r="K731" s="93" t="str">
        <f t="shared" si="47"/>
        <v>이원철</v>
      </c>
      <c r="L731" s="16" t="str">
        <f t="shared" si="48"/>
        <v>일</v>
      </c>
      <c r="M731" s="17" t="str">
        <f>IFERROR(VLOOKUP(B731,공휴일!B:C,2,0),"")</f>
        <v/>
      </c>
    </row>
    <row r="732" spans="2:13" x14ac:dyDescent="0.3">
      <c r="B732" s="142">
        <v>46951</v>
      </c>
      <c r="C732" s="143" t="s">
        <v>13</v>
      </c>
      <c r="D732" s="144"/>
      <c r="E732" s="143" t="s">
        <v>21</v>
      </c>
      <c r="F732" s="144"/>
      <c r="G732" s="147"/>
      <c r="H732" s="148" t="str">
        <f>IF(WORKDAY(B732-1,1,공휴일!$B$4:$B$24)=B732,IF(WORKDAY(B732,1,공휴일!$B$4:$B$24)&lt;&gt;B732+1,"금요일","평일"),IF(WORKDAY(B732,1,공휴일!$B$4:$B$24)&lt;&gt;B732+1,"토요일","일요일"))</f>
        <v>평일</v>
      </c>
      <c r="I732" s="125" t="str">
        <f t="shared" si="49"/>
        <v>2028-07</v>
      </c>
      <c r="J732" s="93" t="str">
        <f t="shared" si="46"/>
        <v>안지영</v>
      </c>
      <c r="K732" s="93" t="str">
        <f t="shared" si="47"/>
        <v>정찬웅</v>
      </c>
      <c r="L732" s="16" t="str">
        <f t="shared" si="48"/>
        <v>월</v>
      </c>
      <c r="M732" s="17" t="str">
        <f>IFERROR(VLOOKUP(B732,공휴일!B:C,2,0),"")</f>
        <v/>
      </c>
    </row>
    <row r="733" spans="2:13" x14ac:dyDescent="0.3">
      <c r="B733" s="142">
        <v>46952</v>
      </c>
      <c r="C733" s="143" t="s">
        <v>41</v>
      </c>
      <c r="D733" s="144"/>
      <c r="E733" s="143" t="s">
        <v>22</v>
      </c>
      <c r="F733" s="144"/>
      <c r="G733" s="147"/>
      <c r="H733" s="148" t="str">
        <f>IF(WORKDAY(B733-1,1,공휴일!$B$4:$B$24)=B733,IF(WORKDAY(B733,1,공휴일!$B$4:$B$24)&lt;&gt;B733+1,"금요일","평일"),IF(WORKDAY(B733,1,공휴일!$B$4:$B$24)&lt;&gt;B733+1,"토요일","일요일"))</f>
        <v>평일</v>
      </c>
      <c r="I733" s="125" t="str">
        <f t="shared" si="49"/>
        <v>2028-07</v>
      </c>
      <c r="J733" s="93" t="str">
        <f t="shared" si="46"/>
        <v>송남철</v>
      </c>
      <c r="K733" s="93" t="str">
        <f t="shared" si="47"/>
        <v>서진호</v>
      </c>
      <c r="L733" s="16" t="str">
        <f t="shared" si="48"/>
        <v>화</v>
      </c>
      <c r="M733" s="17" t="str">
        <f>IFERROR(VLOOKUP(B733,공휴일!B:C,2,0),"")</f>
        <v/>
      </c>
    </row>
    <row r="734" spans="2:13" x14ac:dyDescent="0.3">
      <c r="B734" s="142">
        <v>46953</v>
      </c>
      <c r="C734" s="143" t="s">
        <v>17</v>
      </c>
      <c r="D734" s="144"/>
      <c r="E734" s="143" t="s">
        <v>11</v>
      </c>
      <c r="F734" s="144"/>
      <c r="G734" s="147"/>
      <c r="H734" s="148" t="str">
        <f>IF(WORKDAY(B734-1,1,공휴일!$B$4:$B$24)=B734,IF(WORKDAY(B734,1,공휴일!$B$4:$B$24)&lt;&gt;B734+1,"금요일","평일"),IF(WORKDAY(B734,1,공휴일!$B$4:$B$24)&lt;&gt;B734+1,"토요일","일요일"))</f>
        <v>평일</v>
      </c>
      <c r="I734" s="125" t="str">
        <f t="shared" si="49"/>
        <v>2028-07</v>
      </c>
      <c r="J734" s="93" t="str">
        <f t="shared" si="46"/>
        <v>신혜원</v>
      </c>
      <c r="K734" s="93" t="str">
        <f t="shared" si="47"/>
        <v>장민우</v>
      </c>
      <c r="L734" s="16" t="str">
        <f t="shared" si="48"/>
        <v>수</v>
      </c>
      <c r="M734" s="17" t="str">
        <f>IFERROR(VLOOKUP(B734,공휴일!B:C,2,0),"")</f>
        <v/>
      </c>
    </row>
    <row r="735" spans="2:13" x14ac:dyDescent="0.3">
      <c r="B735" s="142">
        <v>46954</v>
      </c>
      <c r="C735" s="143" t="s">
        <v>40</v>
      </c>
      <c r="D735" s="144"/>
      <c r="E735" s="143" t="s">
        <v>19</v>
      </c>
      <c r="F735" s="144"/>
      <c r="G735" s="147"/>
      <c r="H735" s="148" t="str">
        <f>IF(WORKDAY(B735-1,1,공휴일!$B$4:$B$24)=B735,IF(WORKDAY(B735,1,공휴일!$B$4:$B$24)&lt;&gt;B735+1,"금요일","평일"),IF(WORKDAY(B735,1,공휴일!$B$4:$B$24)&lt;&gt;B735+1,"토요일","일요일"))</f>
        <v>평일</v>
      </c>
      <c r="I735" s="125" t="str">
        <f t="shared" si="49"/>
        <v>2028-07</v>
      </c>
      <c r="J735" s="93" t="str">
        <f t="shared" si="46"/>
        <v>여철호</v>
      </c>
      <c r="K735" s="93" t="str">
        <f t="shared" si="47"/>
        <v>우정수</v>
      </c>
      <c r="L735" s="16" t="str">
        <f t="shared" si="48"/>
        <v>목</v>
      </c>
      <c r="M735" s="17" t="str">
        <f>IFERROR(VLOOKUP(B735,공휴일!B:C,2,0),"")</f>
        <v/>
      </c>
    </row>
    <row r="736" spans="2:13" x14ac:dyDescent="0.3">
      <c r="B736" s="142">
        <v>46955</v>
      </c>
      <c r="C736" s="143" t="s">
        <v>15</v>
      </c>
      <c r="D736" s="144"/>
      <c r="E736" s="143" t="s">
        <v>44</v>
      </c>
      <c r="F736" s="144"/>
      <c r="G736" s="147"/>
      <c r="H736" s="148" t="str">
        <f>IF(WORKDAY(B736-1,1,공휴일!$B$4:$B$24)=B736,IF(WORKDAY(B736,1,공휴일!$B$4:$B$24)&lt;&gt;B736+1,"금요일","평일"),IF(WORKDAY(B736,1,공휴일!$B$4:$B$24)&lt;&gt;B736+1,"토요일","일요일"))</f>
        <v>금요일</v>
      </c>
      <c r="I736" s="125" t="str">
        <f t="shared" si="49"/>
        <v>2028-07</v>
      </c>
      <c r="J736" s="93" t="str">
        <f t="shared" si="46"/>
        <v>구민아</v>
      </c>
      <c r="K736" s="93" t="str">
        <f t="shared" si="47"/>
        <v>오기희</v>
      </c>
      <c r="L736" s="16" t="str">
        <f t="shared" si="48"/>
        <v>금</v>
      </c>
      <c r="M736" s="17" t="str">
        <f>IFERROR(VLOOKUP(B736,공휴일!B:C,2,0),"")</f>
        <v/>
      </c>
    </row>
    <row r="737" spans="2:13" x14ac:dyDescent="0.3">
      <c r="B737" s="142">
        <v>46956</v>
      </c>
      <c r="C737" s="143" t="s">
        <v>14</v>
      </c>
      <c r="D737" s="144"/>
      <c r="E737" s="143" t="s">
        <v>18</v>
      </c>
      <c r="F737" s="144"/>
      <c r="G737" s="147"/>
      <c r="H737" s="148" t="str">
        <f>IF(WORKDAY(B737-1,1,공휴일!$B$4:$B$24)=B737,IF(WORKDAY(B737,1,공휴일!$B$4:$B$24)&lt;&gt;B737+1,"금요일","평일"),IF(WORKDAY(B737,1,공휴일!$B$4:$B$24)&lt;&gt;B737+1,"토요일","일요일"))</f>
        <v>토요일</v>
      </c>
      <c r="I737" s="125" t="str">
        <f t="shared" si="49"/>
        <v>2028-07</v>
      </c>
      <c r="J737" s="93" t="str">
        <f t="shared" si="46"/>
        <v>고석규</v>
      </c>
      <c r="K737" s="93" t="str">
        <f t="shared" si="47"/>
        <v>이승현</v>
      </c>
      <c r="L737" s="16" t="str">
        <f t="shared" si="48"/>
        <v>토</v>
      </c>
      <c r="M737" s="17" t="str">
        <f>IFERROR(VLOOKUP(B737,공휴일!B:C,2,0),"")</f>
        <v/>
      </c>
    </row>
    <row r="738" spans="2:13" x14ac:dyDescent="0.3">
      <c r="B738" s="142">
        <v>46957</v>
      </c>
      <c r="C738" s="143" t="s">
        <v>12</v>
      </c>
      <c r="D738" s="144"/>
      <c r="E738" s="143" t="s">
        <v>10</v>
      </c>
      <c r="F738" s="144"/>
      <c r="G738" s="147"/>
      <c r="H738" s="148" t="str">
        <f>IF(WORKDAY(B738-1,1,공휴일!$B$4:$B$24)=B738,IF(WORKDAY(B738,1,공휴일!$B$4:$B$24)&lt;&gt;B738+1,"금요일","평일"),IF(WORKDAY(B738,1,공휴일!$B$4:$B$24)&lt;&gt;B738+1,"토요일","일요일"))</f>
        <v>일요일</v>
      </c>
      <c r="I738" s="125" t="str">
        <f t="shared" si="49"/>
        <v>2028-07</v>
      </c>
      <c r="J738" s="93" t="str">
        <f t="shared" si="46"/>
        <v>한문영</v>
      </c>
      <c r="K738" s="93" t="str">
        <f t="shared" si="47"/>
        <v>유진수</v>
      </c>
      <c r="L738" s="16" t="str">
        <f t="shared" si="48"/>
        <v>일</v>
      </c>
      <c r="M738" s="17" t="str">
        <f>IFERROR(VLOOKUP(B738,공휴일!B:C,2,0),"")</f>
        <v/>
      </c>
    </row>
    <row r="739" spans="2:13" x14ac:dyDescent="0.3">
      <c r="B739" s="142">
        <v>46958</v>
      </c>
      <c r="C739" s="143" t="s">
        <v>16</v>
      </c>
      <c r="D739" s="144"/>
      <c r="E739" s="143" t="s">
        <v>20</v>
      </c>
      <c r="F739" s="144"/>
      <c r="G739" s="147"/>
      <c r="H739" s="148" t="str">
        <f>IF(WORKDAY(B739-1,1,공휴일!$B$4:$B$24)=B739,IF(WORKDAY(B739,1,공휴일!$B$4:$B$24)&lt;&gt;B739+1,"금요일","평일"),IF(WORKDAY(B739,1,공휴일!$B$4:$B$24)&lt;&gt;B739+1,"토요일","일요일"))</f>
        <v>평일</v>
      </c>
      <c r="I739" s="125" t="str">
        <f t="shared" si="49"/>
        <v>2028-07</v>
      </c>
      <c r="J739" s="93" t="str">
        <f t="shared" si="46"/>
        <v>이현숙</v>
      </c>
      <c r="K739" s="93" t="str">
        <f t="shared" si="47"/>
        <v>이원철</v>
      </c>
      <c r="L739" s="16" t="str">
        <f t="shared" si="48"/>
        <v>월</v>
      </c>
      <c r="M739" s="17" t="str">
        <f>IFERROR(VLOOKUP(B739,공휴일!B:C,2,0),"")</f>
        <v/>
      </c>
    </row>
    <row r="740" spans="2:13" x14ac:dyDescent="0.3">
      <c r="B740" s="142">
        <v>46959</v>
      </c>
      <c r="C740" s="143" t="s">
        <v>13</v>
      </c>
      <c r="D740" s="144"/>
      <c r="E740" s="143" t="s">
        <v>21</v>
      </c>
      <c r="F740" s="144"/>
      <c r="G740" s="147"/>
      <c r="H740" s="148" t="str">
        <f>IF(WORKDAY(B740-1,1,공휴일!$B$4:$B$24)=B740,IF(WORKDAY(B740,1,공휴일!$B$4:$B$24)&lt;&gt;B740+1,"금요일","평일"),IF(WORKDAY(B740,1,공휴일!$B$4:$B$24)&lt;&gt;B740+1,"토요일","일요일"))</f>
        <v>평일</v>
      </c>
      <c r="I740" s="125" t="str">
        <f t="shared" si="49"/>
        <v>2028-07</v>
      </c>
      <c r="J740" s="93" t="str">
        <f t="shared" si="46"/>
        <v>안지영</v>
      </c>
      <c r="K740" s="93" t="str">
        <f t="shared" si="47"/>
        <v>정찬웅</v>
      </c>
      <c r="L740" s="16" t="str">
        <f t="shared" si="48"/>
        <v>화</v>
      </c>
      <c r="M740" s="17" t="str">
        <f>IFERROR(VLOOKUP(B740,공휴일!B:C,2,0),"")</f>
        <v/>
      </c>
    </row>
    <row r="741" spans="2:13" x14ac:dyDescent="0.3">
      <c r="B741" s="142">
        <v>46960</v>
      </c>
      <c r="C741" s="143" t="s">
        <v>41</v>
      </c>
      <c r="D741" s="144"/>
      <c r="E741" s="143" t="s">
        <v>22</v>
      </c>
      <c r="F741" s="144"/>
      <c r="G741" s="147"/>
      <c r="H741" s="148" t="str">
        <f>IF(WORKDAY(B741-1,1,공휴일!$B$4:$B$24)=B741,IF(WORKDAY(B741,1,공휴일!$B$4:$B$24)&lt;&gt;B741+1,"금요일","평일"),IF(WORKDAY(B741,1,공휴일!$B$4:$B$24)&lt;&gt;B741+1,"토요일","일요일"))</f>
        <v>평일</v>
      </c>
      <c r="I741" s="125" t="str">
        <f t="shared" si="49"/>
        <v>2028-07</v>
      </c>
      <c r="J741" s="93" t="str">
        <f t="shared" si="46"/>
        <v>송남철</v>
      </c>
      <c r="K741" s="93" t="str">
        <f t="shared" si="47"/>
        <v>서진호</v>
      </c>
      <c r="L741" s="16" t="str">
        <f t="shared" si="48"/>
        <v>수</v>
      </c>
      <c r="M741" s="17" t="str">
        <f>IFERROR(VLOOKUP(B741,공휴일!B:C,2,0),"")</f>
        <v/>
      </c>
    </row>
    <row r="742" spans="2:13" x14ac:dyDescent="0.3">
      <c r="B742" s="142">
        <v>46961</v>
      </c>
      <c r="C742" s="143" t="s">
        <v>17</v>
      </c>
      <c r="D742" s="144"/>
      <c r="E742" s="143" t="s">
        <v>11</v>
      </c>
      <c r="F742" s="144"/>
      <c r="G742" s="147"/>
      <c r="H742" s="148" t="str">
        <f>IF(WORKDAY(B742-1,1,공휴일!$B$4:$B$24)=B742,IF(WORKDAY(B742,1,공휴일!$B$4:$B$24)&lt;&gt;B742+1,"금요일","평일"),IF(WORKDAY(B742,1,공휴일!$B$4:$B$24)&lt;&gt;B742+1,"토요일","일요일"))</f>
        <v>평일</v>
      </c>
      <c r="I742" s="125" t="str">
        <f t="shared" si="49"/>
        <v>2028-07</v>
      </c>
      <c r="J742" s="93" t="str">
        <f t="shared" si="46"/>
        <v>신혜원</v>
      </c>
      <c r="K742" s="93" t="str">
        <f t="shared" si="47"/>
        <v>장민우</v>
      </c>
      <c r="L742" s="16" t="str">
        <f t="shared" si="48"/>
        <v>목</v>
      </c>
      <c r="M742" s="17" t="str">
        <f>IFERROR(VLOOKUP(B742,공휴일!B:C,2,0),"")</f>
        <v/>
      </c>
    </row>
    <row r="743" spans="2:13" x14ac:dyDescent="0.3">
      <c r="B743" s="142">
        <v>46962</v>
      </c>
      <c r="C743" s="143" t="s">
        <v>40</v>
      </c>
      <c r="D743" s="144"/>
      <c r="E743" s="143" t="s">
        <v>19</v>
      </c>
      <c r="F743" s="144"/>
      <c r="G743" s="147"/>
      <c r="H743" s="148" t="str">
        <f>IF(WORKDAY(B743-1,1,공휴일!$B$4:$B$24)=B743,IF(WORKDAY(B743,1,공휴일!$B$4:$B$24)&lt;&gt;B743+1,"금요일","평일"),IF(WORKDAY(B743,1,공휴일!$B$4:$B$24)&lt;&gt;B743+1,"토요일","일요일"))</f>
        <v>금요일</v>
      </c>
      <c r="I743" s="125" t="str">
        <f t="shared" si="49"/>
        <v>2028-07</v>
      </c>
      <c r="J743" s="93" t="str">
        <f t="shared" si="46"/>
        <v>여철호</v>
      </c>
      <c r="K743" s="93" t="str">
        <f t="shared" si="47"/>
        <v>우정수</v>
      </c>
      <c r="L743" s="16" t="str">
        <f t="shared" si="48"/>
        <v>금</v>
      </c>
      <c r="M743" s="17" t="str">
        <f>IFERROR(VLOOKUP(B743,공휴일!B:C,2,0),"")</f>
        <v/>
      </c>
    </row>
    <row r="744" spans="2:13" x14ac:dyDescent="0.3">
      <c r="B744" s="142">
        <v>46963</v>
      </c>
      <c r="C744" s="143" t="s">
        <v>15</v>
      </c>
      <c r="D744" s="144"/>
      <c r="E744" s="143" t="s">
        <v>44</v>
      </c>
      <c r="F744" s="144"/>
      <c r="G744" s="147"/>
      <c r="H744" s="148" t="str">
        <f>IF(WORKDAY(B744-1,1,공휴일!$B$4:$B$24)=B744,IF(WORKDAY(B744,1,공휴일!$B$4:$B$24)&lt;&gt;B744+1,"금요일","평일"),IF(WORKDAY(B744,1,공휴일!$B$4:$B$24)&lt;&gt;B744+1,"토요일","일요일"))</f>
        <v>토요일</v>
      </c>
      <c r="I744" s="125" t="str">
        <f t="shared" si="49"/>
        <v>2028-07</v>
      </c>
      <c r="J744" s="93" t="str">
        <f t="shared" si="46"/>
        <v>구민아</v>
      </c>
      <c r="K744" s="93" t="str">
        <f t="shared" si="47"/>
        <v>오기희</v>
      </c>
      <c r="L744" s="16" t="str">
        <f t="shared" si="48"/>
        <v>토</v>
      </c>
      <c r="M744" s="17" t="str">
        <f>IFERROR(VLOOKUP(B744,공휴일!B:C,2,0),"")</f>
        <v/>
      </c>
    </row>
    <row r="745" spans="2:13" x14ac:dyDescent="0.3">
      <c r="B745" s="142">
        <v>46964</v>
      </c>
      <c r="C745" s="143" t="s">
        <v>14</v>
      </c>
      <c r="D745" s="144"/>
      <c r="E745" s="143" t="s">
        <v>18</v>
      </c>
      <c r="F745" s="144"/>
      <c r="G745" s="147"/>
      <c r="H745" s="148" t="str">
        <f>IF(WORKDAY(B745-1,1,공휴일!$B$4:$B$24)=B745,IF(WORKDAY(B745,1,공휴일!$B$4:$B$24)&lt;&gt;B745+1,"금요일","평일"),IF(WORKDAY(B745,1,공휴일!$B$4:$B$24)&lt;&gt;B745+1,"토요일","일요일"))</f>
        <v>일요일</v>
      </c>
      <c r="I745" s="125" t="str">
        <f t="shared" si="49"/>
        <v>2028-07</v>
      </c>
      <c r="J745" s="93" t="str">
        <f t="shared" ref="J745:J808" si="50">IF(D745="",C745,D745)</f>
        <v>고석규</v>
      </c>
      <c r="K745" s="93" t="str">
        <f t="shared" ref="K745:K808" si="51">IF(F745="",E745,F745)</f>
        <v>이승현</v>
      </c>
      <c r="L745" s="16" t="str">
        <f t="shared" ref="L745:L808" si="52">TEXT(B745,"aaa")</f>
        <v>일</v>
      </c>
      <c r="M745" s="17" t="str">
        <f>IFERROR(VLOOKUP(B745,공휴일!B:C,2,0),"")</f>
        <v/>
      </c>
    </row>
    <row r="746" spans="2:13" x14ac:dyDescent="0.3">
      <c r="B746" s="142">
        <v>46965</v>
      </c>
      <c r="C746" s="143" t="s">
        <v>12</v>
      </c>
      <c r="D746" s="144"/>
      <c r="E746" s="143" t="s">
        <v>10</v>
      </c>
      <c r="F746" s="144"/>
      <c r="G746" s="147"/>
      <c r="H746" s="148" t="str">
        <f>IF(WORKDAY(B746-1,1,공휴일!$B$4:$B$24)=B746,IF(WORKDAY(B746,1,공휴일!$B$4:$B$24)&lt;&gt;B746+1,"금요일","평일"),IF(WORKDAY(B746,1,공휴일!$B$4:$B$24)&lt;&gt;B746+1,"토요일","일요일"))</f>
        <v>평일</v>
      </c>
      <c r="I746" s="125" t="str">
        <f t="shared" si="49"/>
        <v>2028-07</v>
      </c>
      <c r="J746" s="93" t="str">
        <f t="shared" si="50"/>
        <v>한문영</v>
      </c>
      <c r="K746" s="93" t="str">
        <f t="shared" si="51"/>
        <v>유진수</v>
      </c>
      <c r="L746" s="16" t="str">
        <f t="shared" si="52"/>
        <v>월</v>
      </c>
      <c r="M746" s="17" t="str">
        <f>IFERROR(VLOOKUP(B746,공휴일!B:C,2,0),"")</f>
        <v/>
      </c>
    </row>
    <row r="747" spans="2:13" x14ac:dyDescent="0.3">
      <c r="B747" s="142">
        <v>46966</v>
      </c>
      <c r="C747" s="143" t="s">
        <v>16</v>
      </c>
      <c r="D747" s="144"/>
      <c r="E747" s="143" t="s">
        <v>20</v>
      </c>
      <c r="F747" s="144"/>
      <c r="G747" s="147"/>
      <c r="H747" s="148" t="str">
        <f>IF(WORKDAY(B747-1,1,공휴일!$B$4:$B$24)=B747,IF(WORKDAY(B747,1,공휴일!$B$4:$B$24)&lt;&gt;B747+1,"금요일","평일"),IF(WORKDAY(B747,1,공휴일!$B$4:$B$24)&lt;&gt;B747+1,"토요일","일요일"))</f>
        <v>평일</v>
      </c>
      <c r="I747" s="125" t="str">
        <f t="shared" si="49"/>
        <v>2028-08</v>
      </c>
      <c r="J747" s="93" t="str">
        <f t="shared" si="50"/>
        <v>이현숙</v>
      </c>
      <c r="K747" s="93" t="str">
        <f t="shared" si="51"/>
        <v>이원철</v>
      </c>
      <c r="L747" s="16" t="str">
        <f t="shared" si="52"/>
        <v>화</v>
      </c>
      <c r="M747" s="17" t="str">
        <f>IFERROR(VLOOKUP(B747,공휴일!B:C,2,0),"")</f>
        <v/>
      </c>
    </row>
    <row r="748" spans="2:13" x14ac:dyDescent="0.3">
      <c r="B748" s="142">
        <v>46967</v>
      </c>
      <c r="C748" s="143" t="s">
        <v>13</v>
      </c>
      <c r="D748" s="144"/>
      <c r="E748" s="143" t="s">
        <v>21</v>
      </c>
      <c r="F748" s="144"/>
      <c r="G748" s="147"/>
      <c r="H748" s="148" t="str">
        <f>IF(WORKDAY(B748-1,1,공휴일!$B$4:$B$24)=B748,IF(WORKDAY(B748,1,공휴일!$B$4:$B$24)&lt;&gt;B748+1,"금요일","평일"),IF(WORKDAY(B748,1,공휴일!$B$4:$B$24)&lt;&gt;B748+1,"토요일","일요일"))</f>
        <v>평일</v>
      </c>
      <c r="I748" s="125" t="str">
        <f t="shared" si="49"/>
        <v>2028-08</v>
      </c>
      <c r="J748" s="93" t="str">
        <f t="shared" si="50"/>
        <v>안지영</v>
      </c>
      <c r="K748" s="93" t="str">
        <f t="shared" si="51"/>
        <v>정찬웅</v>
      </c>
      <c r="L748" s="16" t="str">
        <f t="shared" si="52"/>
        <v>수</v>
      </c>
      <c r="M748" s="17" t="str">
        <f>IFERROR(VLOOKUP(B748,공휴일!B:C,2,0),"")</f>
        <v/>
      </c>
    </row>
    <row r="749" spans="2:13" x14ac:dyDescent="0.3">
      <c r="B749" s="142">
        <v>46968</v>
      </c>
      <c r="C749" s="143" t="s">
        <v>41</v>
      </c>
      <c r="D749" s="144"/>
      <c r="E749" s="143" t="s">
        <v>22</v>
      </c>
      <c r="F749" s="144"/>
      <c r="G749" s="147"/>
      <c r="H749" s="148" t="str">
        <f>IF(WORKDAY(B749-1,1,공휴일!$B$4:$B$24)=B749,IF(WORKDAY(B749,1,공휴일!$B$4:$B$24)&lt;&gt;B749+1,"금요일","평일"),IF(WORKDAY(B749,1,공휴일!$B$4:$B$24)&lt;&gt;B749+1,"토요일","일요일"))</f>
        <v>평일</v>
      </c>
      <c r="I749" s="125" t="str">
        <f t="shared" si="49"/>
        <v>2028-08</v>
      </c>
      <c r="J749" s="93" t="str">
        <f t="shared" si="50"/>
        <v>송남철</v>
      </c>
      <c r="K749" s="93" t="str">
        <f t="shared" si="51"/>
        <v>서진호</v>
      </c>
      <c r="L749" s="16" t="str">
        <f t="shared" si="52"/>
        <v>목</v>
      </c>
      <c r="M749" s="17" t="str">
        <f>IFERROR(VLOOKUP(B749,공휴일!B:C,2,0),"")</f>
        <v/>
      </c>
    </row>
    <row r="750" spans="2:13" x14ac:dyDescent="0.3">
      <c r="B750" s="142">
        <v>46969</v>
      </c>
      <c r="C750" s="143" t="s">
        <v>17</v>
      </c>
      <c r="D750" s="144"/>
      <c r="E750" s="143" t="s">
        <v>11</v>
      </c>
      <c r="F750" s="144"/>
      <c r="G750" s="147"/>
      <c r="H750" s="148" t="str">
        <f>IF(WORKDAY(B750-1,1,공휴일!$B$4:$B$24)=B750,IF(WORKDAY(B750,1,공휴일!$B$4:$B$24)&lt;&gt;B750+1,"금요일","평일"),IF(WORKDAY(B750,1,공휴일!$B$4:$B$24)&lt;&gt;B750+1,"토요일","일요일"))</f>
        <v>금요일</v>
      </c>
      <c r="I750" s="125" t="str">
        <f t="shared" si="49"/>
        <v>2028-08</v>
      </c>
      <c r="J750" s="93" t="str">
        <f t="shared" si="50"/>
        <v>신혜원</v>
      </c>
      <c r="K750" s="93" t="str">
        <f t="shared" si="51"/>
        <v>장민우</v>
      </c>
      <c r="L750" s="16" t="str">
        <f t="shared" si="52"/>
        <v>금</v>
      </c>
      <c r="M750" s="17" t="str">
        <f>IFERROR(VLOOKUP(B750,공휴일!B:C,2,0),"")</f>
        <v/>
      </c>
    </row>
    <row r="751" spans="2:13" x14ac:dyDescent="0.3">
      <c r="B751" s="142">
        <v>46970</v>
      </c>
      <c r="C751" s="143" t="s">
        <v>40</v>
      </c>
      <c r="D751" s="144"/>
      <c r="E751" s="143" t="s">
        <v>19</v>
      </c>
      <c r="F751" s="144"/>
      <c r="G751" s="147"/>
      <c r="H751" s="148" t="str">
        <f>IF(WORKDAY(B751-1,1,공휴일!$B$4:$B$24)=B751,IF(WORKDAY(B751,1,공휴일!$B$4:$B$24)&lt;&gt;B751+1,"금요일","평일"),IF(WORKDAY(B751,1,공휴일!$B$4:$B$24)&lt;&gt;B751+1,"토요일","일요일"))</f>
        <v>토요일</v>
      </c>
      <c r="I751" s="125" t="str">
        <f t="shared" si="49"/>
        <v>2028-08</v>
      </c>
      <c r="J751" s="93" t="str">
        <f t="shared" si="50"/>
        <v>여철호</v>
      </c>
      <c r="K751" s="93" t="str">
        <f t="shared" si="51"/>
        <v>우정수</v>
      </c>
      <c r="L751" s="16" t="str">
        <f t="shared" si="52"/>
        <v>토</v>
      </c>
      <c r="M751" s="17" t="str">
        <f>IFERROR(VLOOKUP(B751,공휴일!B:C,2,0),"")</f>
        <v/>
      </c>
    </row>
    <row r="752" spans="2:13" x14ac:dyDescent="0.3">
      <c r="B752" s="142">
        <v>46971</v>
      </c>
      <c r="C752" s="143" t="s">
        <v>15</v>
      </c>
      <c r="D752" s="144"/>
      <c r="E752" s="143" t="s">
        <v>44</v>
      </c>
      <c r="F752" s="144"/>
      <c r="G752" s="147"/>
      <c r="H752" s="148" t="str">
        <f>IF(WORKDAY(B752-1,1,공휴일!$B$4:$B$24)=B752,IF(WORKDAY(B752,1,공휴일!$B$4:$B$24)&lt;&gt;B752+1,"금요일","평일"),IF(WORKDAY(B752,1,공휴일!$B$4:$B$24)&lt;&gt;B752+1,"토요일","일요일"))</f>
        <v>일요일</v>
      </c>
      <c r="I752" s="125" t="str">
        <f t="shared" si="49"/>
        <v>2028-08</v>
      </c>
      <c r="J752" s="93" t="str">
        <f t="shared" si="50"/>
        <v>구민아</v>
      </c>
      <c r="K752" s="93" t="str">
        <f t="shared" si="51"/>
        <v>오기희</v>
      </c>
      <c r="L752" s="16" t="str">
        <f t="shared" si="52"/>
        <v>일</v>
      </c>
      <c r="M752" s="17" t="str">
        <f>IFERROR(VLOOKUP(B752,공휴일!B:C,2,0),"")</f>
        <v/>
      </c>
    </row>
    <row r="753" spans="2:13" x14ac:dyDescent="0.3">
      <c r="B753" s="142">
        <v>46972</v>
      </c>
      <c r="C753" s="143" t="s">
        <v>14</v>
      </c>
      <c r="D753" s="144"/>
      <c r="E753" s="143" t="s">
        <v>18</v>
      </c>
      <c r="F753" s="144"/>
      <c r="G753" s="147"/>
      <c r="H753" s="148" t="str">
        <f>IF(WORKDAY(B753-1,1,공휴일!$B$4:$B$24)=B753,IF(WORKDAY(B753,1,공휴일!$B$4:$B$24)&lt;&gt;B753+1,"금요일","평일"),IF(WORKDAY(B753,1,공휴일!$B$4:$B$24)&lt;&gt;B753+1,"토요일","일요일"))</f>
        <v>평일</v>
      </c>
      <c r="I753" s="125" t="str">
        <f t="shared" si="49"/>
        <v>2028-08</v>
      </c>
      <c r="J753" s="93" t="str">
        <f t="shared" si="50"/>
        <v>고석규</v>
      </c>
      <c r="K753" s="93" t="str">
        <f t="shared" si="51"/>
        <v>이승현</v>
      </c>
      <c r="L753" s="16" t="str">
        <f t="shared" si="52"/>
        <v>월</v>
      </c>
      <c r="M753" s="17" t="str">
        <f>IFERROR(VLOOKUP(B753,공휴일!B:C,2,0),"")</f>
        <v/>
      </c>
    </row>
    <row r="754" spans="2:13" x14ac:dyDescent="0.3">
      <c r="B754" s="142">
        <v>46973</v>
      </c>
      <c r="C754" s="143" t="s">
        <v>12</v>
      </c>
      <c r="D754" s="144"/>
      <c r="E754" s="143" t="s">
        <v>10</v>
      </c>
      <c r="F754" s="144"/>
      <c r="G754" s="147"/>
      <c r="H754" s="148" t="str">
        <f>IF(WORKDAY(B754-1,1,공휴일!$B$4:$B$24)=B754,IF(WORKDAY(B754,1,공휴일!$B$4:$B$24)&lt;&gt;B754+1,"금요일","평일"),IF(WORKDAY(B754,1,공휴일!$B$4:$B$24)&lt;&gt;B754+1,"토요일","일요일"))</f>
        <v>평일</v>
      </c>
      <c r="I754" s="125" t="str">
        <f t="shared" si="49"/>
        <v>2028-08</v>
      </c>
      <c r="J754" s="93" t="str">
        <f t="shared" si="50"/>
        <v>한문영</v>
      </c>
      <c r="K754" s="93" t="str">
        <f t="shared" si="51"/>
        <v>유진수</v>
      </c>
      <c r="L754" s="16" t="str">
        <f t="shared" si="52"/>
        <v>화</v>
      </c>
      <c r="M754" s="17" t="str">
        <f>IFERROR(VLOOKUP(B754,공휴일!B:C,2,0),"")</f>
        <v/>
      </c>
    </row>
    <row r="755" spans="2:13" x14ac:dyDescent="0.3">
      <c r="B755" s="142">
        <v>46974</v>
      </c>
      <c r="C755" s="143" t="s">
        <v>16</v>
      </c>
      <c r="D755" s="144"/>
      <c r="E755" s="143" t="s">
        <v>20</v>
      </c>
      <c r="F755" s="144"/>
      <c r="G755" s="147"/>
      <c r="H755" s="148" t="str">
        <f>IF(WORKDAY(B755-1,1,공휴일!$B$4:$B$24)=B755,IF(WORKDAY(B755,1,공휴일!$B$4:$B$24)&lt;&gt;B755+1,"금요일","평일"),IF(WORKDAY(B755,1,공휴일!$B$4:$B$24)&lt;&gt;B755+1,"토요일","일요일"))</f>
        <v>평일</v>
      </c>
      <c r="I755" s="125" t="str">
        <f t="shared" si="49"/>
        <v>2028-08</v>
      </c>
      <c r="J755" s="93" t="str">
        <f t="shared" si="50"/>
        <v>이현숙</v>
      </c>
      <c r="K755" s="93" t="str">
        <f t="shared" si="51"/>
        <v>이원철</v>
      </c>
      <c r="L755" s="16" t="str">
        <f t="shared" si="52"/>
        <v>수</v>
      </c>
      <c r="M755" s="17" t="str">
        <f>IFERROR(VLOOKUP(B755,공휴일!B:C,2,0),"")</f>
        <v/>
      </c>
    </row>
    <row r="756" spans="2:13" x14ac:dyDescent="0.3">
      <c r="B756" s="142">
        <v>46975</v>
      </c>
      <c r="C756" s="143" t="s">
        <v>13</v>
      </c>
      <c r="D756" s="144"/>
      <c r="E756" s="143" t="s">
        <v>21</v>
      </c>
      <c r="F756" s="144"/>
      <c r="G756" s="147"/>
      <c r="H756" s="148" t="str">
        <f>IF(WORKDAY(B756-1,1,공휴일!$B$4:$B$24)=B756,IF(WORKDAY(B756,1,공휴일!$B$4:$B$24)&lt;&gt;B756+1,"금요일","평일"),IF(WORKDAY(B756,1,공휴일!$B$4:$B$24)&lt;&gt;B756+1,"토요일","일요일"))</f>
        <v>평일</v>
      </c>
      <c r="I756" s="125" t="str">
        <f t="shared" si="49"/>
        <v>2028-08</v>
      </c>
      <c r="J756" s="93" t="str">
        <f t="shared" si="50"/>
        <v>안지영</v>
      </c>
      <c r="K756" s="93" t="str">
        <f t="shared" si="51"/>
        <v>정찬웅</v>
      </c>
      <c r="L756" s="16" t="str">
        <f t="shared" si="52"/>
        <v>목</v>
      </c>
      <c r="M756" s="17" t="str">
        <f>IFERROR(VLOOKUP(B756,공휴일!B:C,2,0),"")</f>
        <v/>
      </c>
    </row>
    <row r="757" spans="2:13" x14ac:dyDescent="0.3">
      <c r="B757" s="142">
        <v>46976</v>
      </c>
      <c r="C757" s="143" t="s">
        <v>41</v>
      </c>
      <c r="D757" s="144"/>
      <c r="E757" s="143" t="s">
        <v>22</v>
      </c>
      <c r="F757" s="144"/>
      <c r="G757" s="147"/>
      <c r="H757" s="148" t="str">
        <f>IF(WORKDAY(B757-1,1,공휴일!$B$4:$B$24)=B757,IF(WORKDAY(B757,1,공휴일!$B$4:$B$24)&lt;&gt;B757+1,"금요일","평일"),IF(WORKDAY(B757,1,공휴일!$B$4:$B$24)&lt;&gt;B757+1,"토요일","일요일"))</f>
        <v>금요일</v>
      </c>
      <c r="I757" s="125" t="str">
        <f t="shared" si="49"/>
        <v>2028-08</v>
      </c>
      <c r="J757" s="93" t="str">
        <f t="shared" si="50"/>
        <v>송남철</v>
      </c>
      <c r="K757" s="93" t="str">
        <f t="shared" si="51"/>
        <v>서진호</v>
      </c>
      <c r="L757" s="16" t="str">
        <f t="shared" si="52"/>
        <v>금</v>
      </c>
      <c r="M757" s="17" t="str">
        <f>IFERROR(VLOOKUP(B757,공휴일!B:C,2,0),"")</f>
        <v/>
      </c>
    </row>
    <row r="758" spans="2:13" x14ac:dyDescent="0.3">
      <c r="B758" s="142">
        <v>46977</v>
      </c>
      <c r="C758" s="143" t="s">
        <v>17</v>
      </c>
      <c r="D758" s="144"/>
      <c r="E758" s="143" t="s">
        <v>11</v>
      </c>
      <c r="F758" s="144"/>
      <c r="G758" s="147"/>
      <c r="H758" s="148" t="str">
        <f>IF(WORKDAY(B758-1,1,공휴일!$B$4:$B$24)=B758,IF(WORKDAY(B758,1,공휴일!$B$4:$B$24)&lt;&gt;B758+1,"금요일","평일"),IF(WORKDAY(B758,1,공휴일!$B$4:$B$24)&lt;&gt;B758+1,"토요일","일요일"))</f>
        <v>토요일</v>
      </c>
      <c r="I758" s="125" t="str">
        <f t="shared" si="49"/>
        <v>2028-08</v>
      </c>
      <c r="J758" s="93" t="str">
        <f t="shared" si="50"/>
        <v>신혜원</v>
      </c>
      <c r="K758" s="93" t="str">
        <f t="shared" si="51"/>
        <v>장민우</v>
      </c>
      <c r="L758" s="16" t="str">
        <f t="shared" si="52"/>
        <v>토</v>
      </c>
      <c r="M758" s="17" t="str">
        <f>IFERROR(VLOOKUP(B758,공휴일!B:C,2,0),"")</f>
        <v/>
      </c>
    </row>
    <row r="759" spans="2:13" x14ac:dyDescent="0.3">
      <c r="B759" s="142">
        <v>46978</v>
      </c>
      <c r="C759" s="143" t="s">
        <v>40</v>
      </c>
      <c r="D759" s="144"/>
      <c r="E759" s="143" t="s">
        <v>19</v>
      </c>
      <c r="F759" s="144"/>
      <c r="G759" s="147"/>
      <c r="H759" s="148" t="str">
        <f>IF(WORKDAY(B759-1,1,공휴일!$B$4:$B$24)=B759,IF(WORKDAY(B759,1,공휴일!$B$4:$B$24)&lt;&gt;B759+1,"금요일","평일"),IF(WORKDAY(B759,1,공휴일!$B$4:$B$24)&lt;&gt;B759+1,"토요일","일요일"))</f>
        <v>일요일</v>
      </c>
      <c r="I759" s="125" t="str">
        <f t="shared" si="49"/>
        <v>2028-08</v>
      </c>
      <c r="J759" s="93" t="str">
        <f t="shared" si="50"/>
        <v>여철호</v>
      </c>
      <c r="K759" s="93" t="str">
        <f t="shared" si="51"/>
        <v>우정수</v>
      </c>
      <c r="L759" s="16" t="str">
        <f t="shared" si="52"/>
        <v>일</v>
      </c>
      <c r="M759" s="17" t="str">
        <f>IFERROR(VLOOKUP(B759,공휴일!B:C,2,0),"")</f>
        <v/>
      </c>
    </row>
    <row r="760" spans="2:13" x14ac:dyDescent="0.3">
      <c r="B760" s="142">
        <v>46979</v>
      </c>
      <c r="C760" s="143" t="s">
        <v>15</v>
      </c>
      <c r="D760" s="144"/>
      <c r="E760" s="143" t="s">
        <v>44</v>
      </c>
      <c r="F760" s="144"/>
      <c r="G760" s="147"/>
      <c r="H760" s="148" t="str">
        <f>IF(WORKDAY(B760-1,1,공휴일!$B$4:$B$24)=B760,IF(WORKDAY(B760,1,공휴일!$B$4:$B$24)&lt;&gt;B760+1,"금요일","평일"),IF(WORKDAY(B760,1,공휴일!$B$4:$B$24)&lt;&gt;B760+1,"토요일","일요일"))</f>
        <v>평일</v>
      </c>
      <c r="I760" s="125" t="str">
        <f t="shared" si="49"/>
        <v>2028-08</v>
      </c>
      <c r="J760" s="93" t="str">
        <f t="shared" si="50"/>
        <v>구민아</v>
      </c>
      <c r="K760" s="93" t="str">
        <f t="shared" si="51"/>
        <v>오기희</v>
      </c>
      <c r="L760" s="16" t="str">
        <f t="shared" si="52"/>
        <v>월</v>
      </c>
      <c r="M760" s="17" t="str">
        <f>IFERROR(VLOOKUP(B760,공휴일!B:C,2,0),"")</f>
        <v/>
      </c>
    </row>
    <row r="761" spans="2:13" x14ac:dyDescent="0.3">
      <c r="B761" s="142">
        <v>46980</v>
      </c>
      <c r="C761" s="143" t="s">
        <v>14</v>
      </c>
      <c r="D761" s="144"/>
      <c r="E761" s="143" t="s">
        <v>18</v>
      </c>
      <c r="F761" s="144"/>
      <c r="G761" s="147"/>
      <c r="H761" s="148" t="str">
        <f>IF(WORKDAY(B761-1,1,공휴일!$B$4:$B$24)=B761,IF(WORKDAY(B761,1,공휴일!$B$4:$B$24)&lt;&gt;B761+1,"금요일","평일"),IF(WORKDAY(B761,1,공휴일!$B$4:$B$24)&lt;&gt;B761+1,"토요일","일요일"))</f>
        <v>평일</v>
      </c>
      <c r="I761" s="125" t="str">
        <f t="shared" si="49"/>
        <v>2028-08</v>
      </c>
      <c r="J761" s="93" t="str">
        <f t="shared" si="50"/>
        <v>고석규</v>
      </c>
      <c r="K761" s="93" t="str">
        <f t="shared" si="51"/>
        <v>이승현</v>
      </c>
      <c r="L761" s="16" t="str">
        <f t="shared" si="52"/>
        <v>화</v>
      </c>
      <c r="M761" s="17" t="str">
        <f>IFERROR(VLOOKUP(B761,공휴일!B:C,2,0),"")</f>
        <v>광복절</v>
      </c>
    </row>
    <row r="762" spans="2:13" x14ac:dyDescent="0.3">
      <c r="B762" s="142">
        <v>46981</v>
      </c>
      <c r="C762" s="143" t="s">
        <v>12</v>
      </c>
      <c r="D762" s="144"/>
      <c r="E762" s="143" t="s">
        <v>10</v>
      </c>
      <c r="F762" s="144"/>
      <c r="G762" s="147"/>
      <c r="H762" s="148" t="str">
        <f>IF(WORKDAY(B762-1,1,공휴일!$B$4:$B$24)=B762,IF(WORKDAY(B762,1,공휴일!$B$4:$B$24)&lt;&gt;B762+1,"금요일","평일"),IF(WORKDAY(B762,1,공휴일!$B$4:$B$24)&lt;&gt;B762+1,"토요일","일요일"))</f>
        <v>평일</v>
      </c>
      <c r="I762" s="125" t="str">
        <f t="shared" si="49"/>
        <v>2028-08</v>
      </c>
      <c r="J762" s="93" t="str">
        <f t="shared" si="50"/>
        <v>한문영</v>
      </c>
      <c r="K762" s="93" t="str">
        <f t="shared" si="51"/>
        <v>유진수</v>
      </c>
      <c r="L762" s="16" t="str">
        <f t="shared" si="52"/>
        <v>수</v>
      </c>
      <c r="M762" s="17" t="str">
        <f>IFERROR(VLOOKUP(B762,공휴일!B:C,2,0),"")</f>
        <v/>
      </c>
    </row>
    <row r="763" spans="2:13" x14ac:dyDescent="0.3">
      <c r="B763" s="142">
        <v>46982</v>
      </c>
      <c r="C763" s="143" t="s">
        <v>16</v>
      </c>
      <c r="D763" s="144"/>
      <c r="E763" s="143" t="s">
        <v>20</v>
      </c>
      <c r="F763" s="144"/>
      <c r="G763" s="147"/>
      <c r="H763" s="148" t="str">
        <f>IF(WORKDAY(B763-1,1,공휴일!$B$4:$B$24)=B763,IF(WORKDAY(B763,1,공휴일!$B$4:$B$24)&lt;&gt;B763+1,"금요일","평일"),IF(WORKDAY(B763,1,공휴일!$B$4:$B$24)&lt;&gt;B763+1,"토요일","일요일"))</f>
        <v>평일</v>
      </c>
      <c r="I763" s="125" t="str">
        <f t="shared" si="49"/>
        <v>2028-08</v>
      </c>
      <c r="J763" s="93" t="str">
        <f t="shared" si="50"/>
        <v>이현숙</v>
      </c>
      <c r="K763" s="93" t="str">
        <f t="shared" si="51"/>
        <v>이원철</v>
      </c>
      <c r="L763" s="16" t="str">
        <f t="shared" si="52"/>
        <v>목</v>
      </c>
      <c r="M763" s="17" t="str">
        <f>IFERROR(VLOOKUP(B763,공휴일!B:C,2,0),"")</f>
        <v/>
      </c>
    </row>
    <row r="764" spans="2:13" x14ac:dyDescent="0.3">
      <c r="B764" s="142">
        <v>46983</v>
      </c>
      <c r="C764" s="143" t="s">
        <v>13</v>
      </c>
      <c r="D764" s="144"/>
      <c r="E764" s="143" t="s">
        <v>21</v>
      </c>
      <c r="F764" s="144"/>
      <c r="G764" s="147"/>
      <c r="H764" s="148" t="str">
        <f>IF(WORKDAY(B764-1,1,공휴일!$B$4:$B$24)=B764,IF(WORKDAY(B764,1,공휴일!$B$4:$B$24)&lt;&gt;B764+1,"금요일","평일"),IF(WORKDAY(B764,1,공휴일!$B$4:$B$24)&lt;&gt;B764+1,"토요일","일요일"))</f>
        <v>금요일</v>
      </c>
      <c r="I764" s="125" t="str">
        <f t="shared" si="49"/>
        <v>2028-08</v>
      </c>
      <c r="J764" s="93" t="str">
        <f t="shared" si="50"/>
        <v>안지영</v>
      </c>
      <c r="K764" s="93" t="str">
        <f t="shared" si="51"/>
        <v>정찬웅</v>
      </c>
      <c r="L764" s="16" t="str">
        <f t="shared" si="52"/>
        <v>금</v>
      </c>
      <c r="M764" s="17" t="str">
        <f>IFERROR(VLOOKUP(B764,공휴일!B:C,2,0),"")</f>
        <v/>
      </c>
    </row>
    <row r="765" spans="2:13" x14ac:dyDescent="0.3">
      <c r="B765" s="142">
        <v>46984</v>
      </c>
      <c r="C765" s="143" t="s">
        <v>41</v>
      </c>
      <c r="D765" s="144"/>
      <c r="E765" s="143" t="s">
        <v>22</v>
      </c>
      <c r="F765" s="144"/>
      <c r="G765" s="147"/>
      <c r="H765" s="148" t="str">
        <f>IF(WORKDAY(B765-1,1,공휴일!$B$4:$B$24)=B765,IF(WORKDAY(B765,1,공휴일!$B$4:$B$24)&lt;&gt;B765+1,"금요일","평일"),IF(WORKDAY(B765,1,공휴일!$B$4:$B$24)&lt;&gt;B765+1,"토요일","일요일"))</f>
        <v>토요일</v>
      </c>
      <c r="I765" s="125" t="str">
        <f t="shared" si="49"/>
        <v>2028-08</v>
      </c>
      <c r="J765" s="93" t="str">
        <f t="shared" si="50"/>
        <v>송남철</v>
      </c>
      <c r="K765" s="93" t="str">
        <f t="shared" si="51"/>
        <v>서진호</v>
      </c>
      <c r="L765" s="16" t="str">
        <f t="shared" si="52"/>
        <v>토</v>
      </c>
      <c r="M765" s="17" t="str">
        <f>IFERROR(VLOOKUP(B765,공휴일!B:C,2,0),"")</f>
        <v/>
      </c>
    </row>
    <row r="766" spans="2:13" x14ac:dyDescent="0.3">
      <c r="B766" s="142">
        <v>46985</v>
      </c>
      <c r="C766" s="143" t="s">
        <v>17</v>
      </c>
      <c r="D766" s="144"/>
      <c r="E766" s="143" t="s">
        <v>11</v>
      </c>
      <c r="F766" s="144"/>
      <c r="G766" s="147"/>
      <c r="H766" s="148" t="str">
        <f>IF(WORKDAY(B766-1,1,공휴일!$B$4:$B$24)=B766,IF(WORKDAY(B766,1,공휴일!$B$4:$B$24)&lt;&gt;B766+1,"금요일","평일"),IF(WORKDAY(B766,1,공휴일!$B$4:$B$24)&lt;&gt;B766+1,"토요일","일요일"))</f>
        <v>일요일</v>
      </c>
      <c r="I766" s="125" t="str">
        <f t="shared" si="49"/>
        <v>2028-08</v>
      </c>
      <c r="J766" s="93" t="str">
        <f t="shared" si="50"/>
        <v>신혜원</v>
      </c>
      <c r="K766" s="93" t="str">
        <f t="shared" si="51"/>
        <v>장민우</v>
      </c>
      <c r="L766" s="16" t="str">
        <f t="shared" si="52"/>
        <v>일</v>
      </c>
      <c r="M766" s="17" t="str">
        <f>IFERROR(VLOOKUP(B766,공휴일!B:C,2,0),"")</f>
        <v/>
      </c>
    </row>
    <row r="767" spans="2:13" x14ac:dyDescent="0.3">
      <c r="B767" s="142">
        <v>46986</v>
      </c>
      <c r="C767" s="143" t="s">
        <v>40</v>
      </c>
      <c r="D767" s="144"/>
      <c r="E767" s="143" t="s">
        <v>19</v>
      </c>
      <c r="F767" s="144"/>
      <c r="G767" s="147"/>
      <c r="H767" s="148" t="str">
        <f>IF(WORKDAY(B767-1,1,공휴일!$B$4:$B$24)=B767,IF(WORKDAY(B767,1,공휴일!$B$4:$B$24)&lt;&gt;B767+1,"금요일","평일"),IF(WORKDAY(B767,1,공휴일!$B$4:$B$24)&lt;&gt;B767+1,"토요일","일요일"))</f>
        <v>평일</v>
      </c>
      <c r="I767" s="125" t="str">
        <f t="shared" si="49"/>
        <v>2028-08</v>
      </c>
      <c r="J767" s="93" t="str">
        <f t="shared" si="50"/>
        <v>여철호</v>
      </c>
      <c r="K767" s="93" t="str">
        <f t="shared" si="51"/>
        <v>우정수</v>
      </c>
      <c r="L767" s="16" t="str">
        <f t="shared" si="52"/>
        <v>월</v>
      </c>
      <c r="M767" s="17" t="str">
        <f>IFERROR(VLOOKUP(B767,공휴일!B:C,2,0),"")</f>
        <v/>
      </c>
    </row>
    <row r="768" spans="2:13" x14ac:dyDescent="0.3">
      <c r="B768" s="142">
        <v>46987</v>
      </c>
      <c r="C768" s="143" t="s">
        <v>15</v>
      </c>
      <c r="D768" s="144"/>
      <c r="E768" s="143" t="s">
        <v>44</v>
      </c>
      <c r="F768" s="144"/>
      <c r="G768" s="147"/>
      <c r="H768" s="148" t="str">
        <f>IF(WORKDAY(B768-1,1,공휴일!$B$4:$B$24)=B768,IF(WORKDAY(B768,1,공휴일!$B$4:$B$24)&lt;&gt;B768+1,"금요일","평일"),IF(WORKDAY(B768,1,공휴일!$B$4:$B$24)&lt;&gt;B768+1,"토요일","일요일"))</f>
        <v>평일</v>
      </c>
      <c r="I768" s="125" t="str">
        <f t="shared" si="49"/>
        <v>2028-08</v>
      </c>
      <c r="J768" s="93" t="str">
        <f t="shared" si="50"/>
        <v>구민아</v>
      </c>
      <c r="K768" s="93" t="str">
        <f t="shared" si="51"/>
        <v>오기희</v>
      </c>
      <c r="L768" s="16" t="str">
        <f t="shared" si="52"/>
        <v>화</v>
      </c>
      <c r="M768" s="17" t="str">
        <f>IFERROR(VLOOKUP(B768,공휴일!B:C,2,0),"")</f>
        <v/>
      </c>
    </row>
    <row r="769" spans="2:13" x14ac:dyDescent="0.3">
      <c r="B769" s="142">
        <v>46988</v>
      </c>
      <c r="C769" s="143" t="s">
        <v>14</v>
      </c>
      <c r="D769" s="144"/>
      <c r="E769" s="143" t="s">
        <v>18</v>
      </c>
      <c r="F769" s="144"/>
      <c r="G769" s="147"/>
      <c r="H769" s="148" t="str">
        <f>IF(WORKDAY(B769-1,1,공휴일!$B$4:$B$24)=B769,IF(WORKDAY(B769,1,공휴일!$B$4:$B$24)&lt;&gt;B769+1,"금요일","평일"),IF(WORKDAY(B769,1,공휴일!$B$4:$B$24)&lt;&gt;B769+1,"토요일","일요일"))</f>
        <v>평일</v>
      </c>
      <c r="I769" s="125" t="str">
        <f t="shared" si="49"/>
        <v>2028-08</v>
      </c>
      <c r="J769" s="93" t="str">
        <f t="shared" si="50"/>
        <v>고석규</v>
      </c>
      <c r="K769" s="93" t="str">
        <f t="shared" si="51"/>
        <v>이승현</v>
      </c>
      <c r="L769" s="16" t="str">
        <f t="shared" si="52"/>
        <v>수</v>
      </c>
      <c r="M769" s="17" t="str">
        <f>IFERROR(VLOOKUP(B769,공휴일!B:C,2,0),"")</f>
        <v/>
      </c>
    </row>
    <row r="770" spans="2:13" x14ac:dyDescent="0.3">
      <c r="B770" s="142">
        <v>46989</v>
      </c>
      <c r="C770" s="143" t="s">
        <v>12</v>
      </c>
      <c r="D770" s="144"/>
      <c r="E770" s="143" t="s">
        <v>10</v>
      </c>
      <c r="F770" s="144"/>
      <c r="G770" s="147"/>
      <c r="H770" s="148" t="str">
        <f>IF(WORKDAY(B770-1,1,공휴일!$B$4:$B$24)=B770,IF(WORKDAY(B770,1,공휴일!$B$4:$B$24)&lt;&gt;B770+1,"금요일","평일"),IF(WORKDAY(B770,1,공휴일!$B$4:$B$24)&lt;&gt;B770+1,"토요일","일요일"))</f>
        <v>평일</v>
      </c>
      <c r="I770" s="125" t="str">
        <f t="shared" si="49"/>
        <v>2028-08</v>
      </c>
      <c r="J770" s="93" t="str">
        <f t="shared" si="50"/>
        <v>한문영</v>
      </c>
      <c r="K770" s="93" t="str">
        <f t="shared" si="51"/>
        <v>유진수</v>
      </c>
      <c r="L770" s="16" t="str">
        <f t="shared" si="52"/>
        <v>목</v>
      </c>
      <c r="M770" s="17" t="str">
        <f>IFERROR(VLOOKUP(B770,공휴일!B:C,2,0),"")</f>
        <v/>
      </c>
    </row>
    <row r="771" spans="2:13" x14ac:dyDescent="0.3">
      <c r="B771" s="142">
        <v>46990</v>
      </c>
      <c r="C771" s="143" t="s">
        <v>16</v>
      </c>
      <c r="D771" s="144"/>
      <c r="E771" s="143" t="s">
        <v>20</v>
      </c>
      <c r="F771" s="144"/>
      <c r="G771" s="147"/>
      <c r="H771" s="148" t="str">
        <f>IF(WORKDAY(B771-1,1,공휴일!$B$4:$B$24)=B771,IF(WORKDAY(B771,1,공휴일!$B$4:$B$24)&lt;&gt;B771+1,"금요일","평일"),IF(WORKDAY(B771,1,공휴일!$B$4:$B$24)&lt;&gt;B771+1,"토요일","일요일"))</f>
        <v>금요일</v>
      </c>
      <c r="I771" s="125" t="str">
        <f t="shared" si="49"/>
        <v>2028-08</v>
      </c>
      <c r="J771" s="93" t="str">
        <f t="shared" si="50"/>
        <v>이현숙</v>
      </c>
      <c r="K771" s="93" t="str">
        <f t="shared" si="51"/>
        <v>이원철</v>
      </c>
      <c r="L771" s="16" t="str">
        <f t="shared" si="52"/>
        <v>금</v>
      </c>
      <c r="M771" s="17" t="str">
        <f>IFERROR(VLOOKUP(B771,공휴일!B:C,2,0),"")</f>
        <v/>
      </c>
    </row>
    <row r="772" spans="2:13" x14ac:dyDescent="0.3">
      <c r="B772" s="142">
        <v>46991</v>
      </c>
      <c r="C772" s="143" t="s">
        <v>13</v>
      </c>
      <c r="D772" s="144"/>
      <c r="E772" s="143" t="s">
        <v>21</v>
      </c>
      <c r="F772" s="144"/>
      <c r="G772" s="147"/>
      <c r="H772" s="148" t="str">
        <f>IF(WORKDAY(B772-1,1,공휴일!$B$4:$B$24)=B772,IF(WORKDAY(B772,1,공휴일!$B$4:$B$24)&lt;&gt;B772+1,"금요일","평일"),IF(WORKDAY(B772,1,공휴일!$B$4:$B$24)&lt;&gt;B772+1,"토요일","일요일"))</f>
        <v>토요일</v>
      </c>
      <c r="I772" s="125" t="str">
        <f t="shared" si="49"/>
        <v>2028-08</v>
      </c>
      <c r="J772" s="93" t="str">
        <f t="shared" si="50"/>
        <v>안지영</v>
      </c>
      <c r="K772" s="93" t="str">
        <f t="shared" si="51"/>
        <v>정찬웅</v>
      </c>
      <c r="L772" s="16" t="str">
        <f t="shared" si="52"/>
        <v>토</v>
      </c>
      <c r="M772" s="17" t="str">
        <f>IFERROR(VLOOKUP(B772,공휴일!B:C,2,0),"")</f>
        <v/>
      </c>
    </row>
    <row r="773" spans="2:13" x14ac:dyDescent="0.3">
      <c r="B773" s="142">
        <v>46992</v>
      </c>
      <c r="C773" s="143" t="s">
        <v>41</v>
      </c>
      <c r="D773" s="144"/>
      <c r="E773" s="143" t="s">
        <v>22</v>
      </c>
      <c r="F773" s="144"/>
      <c r="G773" s="147"/>
      <c r="H773" s="148" t="str">
        <f>IF(WORKDAY(B773-1,1,공휴일!$B$4:$B$24)=B773,IF(WORKDAY(B773,1,공휴일!$B$4:$B$24)&lt;&gt;B773+1,"금요일","평일"),IF(WORKDAY(B773,1,공휴일!$B$4:$B$24)&lt;&gt;B773+1,"토요일","일요일"))</f>
        <v>일요일</v>
      </c>
      <c r="I773" s="125" t="str">
        <f t="shared" si="49"/>
        <v>2028-08</v>
      </c>
      <c r="J773" s="93" t="str">
        <f t="shared" si="50"/>
        <v>송남철</v>
      </c>
      <c r="K773" s="93" t="str">
        <f t="shared" si="51"/>
        <v>서진호</v>
      </c>
      <c r="L773" s="16" t="str">
        <f t="shared" si="52"/>
        <v>일</v>
      </c>
      <c r="M773" s="17" t="str">
        <f>IFERROR(VLOOKUP(B773,공휴일!B:C,2,0),"")</f>
        <v/>
      </c>
    </row>
    <row r="774" spans="2:13" x14ac:dyDescent="0.3">
      <c r="B774" s="142">
        <v>46993</v>
      </c>
      <c r="C774" s="143" t="s">
        <v>17</v>
      </c>
      <c r="D774" s="144"/>
      <c r="E774" s="143" t="s">
        <v>11</v>
      </c>
      <c r="F774" s="144"/>
      <c r="G774" s="147"/>
      <c r="H774" s="148" t="str">
        <f>IF(WORKDAY(B774-1,1,공휴일!$B$4:$B$24)=B774,IF(WORKDAY(B774,1,공휴일!$B$4:$B$24)&lt;&gt;B774+1,"금요일","평일"),IF(WORKDAY(B774,1,공휴일!$B$4:$B$24)&lt;&gt;B774+1,"토요일","일요일"))</f>
        <v>평일</v>
      </c>
      <c r="I774" s="125" t="str">
        <f t="shared" ref="I774:I837" si="53">TEXT(B774,"yyyy-mm")</f>
        <v>2028-08</v>
      </c>
      <c r="J774" s="93" t="str">
        <f t="shared" si="50"/>
        <v>신혜원</v>
      </c>
      <c r="K774" s="93" t="str">
        <f t="shared" si="51"/>
        <v>장민우</v>
      </c>
      <c r="L774" s="16" t="str">
        <f t="shared" si="52"/>
        <v>월</v>
      </c>
      <c r="M774" s="17" t="str">
        <f>IFERROR(VLOOKUP(B774,공휴일!B:C,2,0),"")</f>
        <v/>
      </c>
    </row>
    <row r="775" spans="2:13" x14ac:dyDescent="0.3">
      <c r="B775" s="142">
        <v>46994</v>
      </c>
      <c r="C775" s="143" t="s">
        <v>40</v>
      </c>
      <c r="D775" s="144"/>
      <c r="E775" s="143" t="s">
        <v>19</v>
      </c>
      <c r="F775" s="144"/>
      <c r="G775" s="147"/>
      <c r="H775" s="148" t="str">
        <f>IF(WORKDAY(B775-1,1,공휴일!$B$4:$B$24)=B775,IF(WORKDAY(B775,1,공휴일!$B$4:$B$24)&lt;&gt;B775+1,"금요일","평일"),IF(WORKDAY(B775,1,공휴일!$B$4:$B$24)&lt;&gt;B775+1,"토요일","일요일"))</f>
        <v>평일</v>
      </c>
      <c r="I775" s="125" t="str">
        <f t="shared" si="53"/>
        <v>2028-08</v>
      </c>
      <c r="J775" s="93" t="str">
        <f t="shared" si="50"/>
        <v>여철호</v>
      </c>
      <c r="K775" s="93" t="str">
        <f t="shared" si="51"/>
        <v>우정수</v>
      </c>
      <c r="L775" s="16" t="str">
        <f t="shared" si="52"/>
        <v>화</v>
      </c>
      <c r="M775" s="17" t="str">
        <f>IFERROR(VLOOKUP(B775,공휴일!B:C,2,0),"")</f>
        <v/>
      </c>
    </row>
    <row r="776" spans="2:13" x14ac:dyDescent="0.3">
      <c r="B776" s="142">
        <v>46995</v>
      </c>
      <c r="C776" s="143" t="s">
        <v>15</v>
      </c>
      <c r="D776" s="144"/>
      <c r="E776" s="143" t="s">
        <v>44</v>
      </c>
      <c r="F776" s="144"/>
      <c r="G776" s="147"/>
      <c r="H776" s="148" t="str">
        <f>IF(WORKDAY(B776-1,1,공휴일!$B$4:$B$24)=B776,IF(WORKDAY(B776,1,공휴일!$B$4:$B$24)&lt;&gt;B776+1,"금요일","평일"),IF(WORKDAY(B776,1,공휴일!$B$4:$B$24)&lt;&gt;B776+1,"토요일","일요일"))</f>
        <v>평일</v>
      </c>
      <c r="I776" s="125" t="str">
        <f t="shared" si="53"/>
        <v>2028-08</v>
      </c>
      <c r="J776" s="93" t="str">
        <f t="shared" si="50"/>
        <v>구민아</v>
      </c>
      <c r="K776" s="93" t="str">
        <f t="shared" si="51"/>
        <v>오기희</v>
      </c>
      <c r="L776" s="16" t="str">
        <f t="shared" si="52"/>
        <v>수</v>
      </c>
      <c r="M776" s="17" t="str">
        <f>IFERROR(VLOOKUP(B776,공휴일!B:C,2,0),"")</f>
        <v/>
      </c>
    </row>
    <row r="777" spans="2:13" x14ac:dyDescent="0.3">
      <c r="B777" s="142">
        <v>46996</v>
      </c>
      <c r="C777" s="143" t="s">
        <v>14</v>
      </c>
      <c r="D777" s="144"/>
      <c r="E777" s="143" t="s">
        <v>18</v>
      </c>
      <c r="F777" s="144"/>
      <c r="G777" s="147"/>
      <c r="H777" s="148" t="str">
        <f>IF(WORKDAY(B777-1,1,공휴일!$B$4:$B$24)=B777,IF(WORKDAY(B777,1,공휴일!$B$4:$B$24)&lt;&gt;B777+1,"금요일","평일"),IF(WORKDAY(B777,1,공휴일!$B$4:$B$24)&lt;&gt;B777+1,"토요일","일요일"))</f>
        <v>평일</v>
      </c>
      <c r="I777" s="125" t="str">
        <f t="shared" si="53"/>
        <v>2028-08</v>
      </c>
      <c r="J777" s="93" t="str">
        <f t="shared" si="50"/>
        <v>고석규</v>
      </c>
      <c r="K777" s="93" t="str">
        <f t="shared" si="51"/>
        <v>이승현</v>
      </c>
      <c r="L777" s="16" t="str">
        <f t="shared" si="52"/>
        <v>목</v>
      </c>
      <c r="M777" s="17" t="str">
        <f>IFERROR(VLOOKUP(B777,공휴일!B:C,2,0),"")</f>
        <v/>
      </c>
    </row>
    <row r="778" spans="2:13" x14ac:dyDescent="0.3">
      <c r="B778" s="142">
        <v>46997</v>
      </c>
      <c r="C778" s="143" t="s">
        <v>12</v>
      </c>
      <c r="D778" s="144"/>
      <c r="E778" s="143" t="s">
        <v>10</v>
      </c>
      <c r="F778" s="144"/>
      <c r="G778" s="147"/>
      <c r="H778" s="148" t="str">
        <f>IF(WORKDAY(B778-1,1,공휴일!$B$4:$B$24)=B778,IF(WORKDAY(B778,1,공휴일!$B$4:$B$24)&lt;&gt;B778+1,"금요일","평일"),IF(WORKDAY(B778,1,공휴일!$B$4:$B$24)&lt;&gt;B778+1,"토요일","일요일"))</f>
        <v>금요일</v>
      </c>
      <c r="I778" s="125" t="str">
        <f t="shared" si="53"/>
        <v>2028-09</v>
      </c>
      <c r="J778" s="93" t="str">
        <f t="shared" si="50"/>
        <v>한문영</v>
      </c>
      <c r="K778" s="93" t="str">
        <f t="shared" si="51"/>
        <v>유진수</v>
      </c>
      <c r="L778" s="16" t="str">
        <f t="shared" si="52"/>
        <v>금</v>
      </c>
      <c r="M778" s="17" t="str">
        <f>IFERROR(VLOOKUP(B778,공휴일!B:C,2,0),"")</f>
        <v/>
      </c>
    </row>
    <row r="779" spans="2:13" x14ac:dyDescent="0.3">
      <c r="B779" s="142">
        <v>46998</v>
      </c>
      <c r="C779" s="143" t="s">
        <v>16</v>
      </c>
      <c r="D779" s="144"/>
      <c r="E779" s="143" t="s">
        <v>20</v>
      </c>
      <c r="F779" s="144"/>
      <c r="G779" s="147"/>
      <c r="H779" s="148" t="str">
        <f>IF(WORKDAY(B779-1,1,공휴일!$B$4:$B$24)=B779,IF(WORKDAY(B779,1,공휴일!$B$4:$B$24)&lt;&gt;B779+1,"금요일","평일"),IF(WORKDAY(B779,1,공휴일!$B$4:$B$24)&lt;&gt;B779+1,"토요일","일요일"))</f>
        <v>토요일</v>
      </c>
      <c r="I779" s="125" t="str">
        <f t="shared" si="53"/>
        <v>2028-09</v>
      </c>
      <c r="J779" s="93" t="str">
        <f t="shared" si="50"/>
        <v>이현숙</v>
      </c>
      <c r="K779" s="93" t="str">
        <f t="shared" si="51"/>
        <v>이원철</v>
      </c>
      <c r="L779" s="16" t="str">
        <f t="shared" si="52"/>
        <v>토</v>
      </c>
      <c r="M779" s="17" t="str">
        <f>IFERROR(VLOOKUP(B779,공휴일!B:C,2,0),"")</f>
        <v/>
      </c>
    </row>
    <row r="780" spans="2:13" x14ac:dyDescent="0.3">
      <c r="B780" s="142">
        <v>46999</v>
      </c>
      <c r="C780" s="143" t="s">
        <v>13</v>
      </c>
      <c r="D780" s="144"/>
      <c r="E780" s="143" t="s">
        <v>21</v>
      </c>
      <c r="F780" s="144"/>
      <c r="G780" s="147"/>
      <c r="H780" s="148" t="str">
        <f>IF(WORKDAY(B780-1,1,공휴일!$B$4:$B$24)=B780,IF(WORKDAY(B780,1,공휴일!$B$4:$B$24)&lt;&gt;B780+1,"금요일","평일"),IF(WORKDAY(B780,1,공휴일!$B$4:$B$24)&lt;&gt;B780+1,"토요일","일요일"))</f>
        <v>일요일</v>
      </c>
      <c r="I780" s="125" t="str">
        <f t="shared" si="53"/>
        <v>2028-09</v>
      </c>
      <c r="J780" s="93" t="str">
        <f t="shared" si="50"/>
        <v>안지영</v>
      </c>
      <c r="K780" s="93" t="str">
        <f t="shared" si="51"/>
        <v>정찬웅</v>
      </c>
      <c r="L780" s="16" t="str">
        <f t="shared" si="52"/>
        <v>일</v>
      </c>
      <c r="M780" s="17" t="str">
        <f>IFERROR(VLOOKUP(B780,공휴일!B:C,2,0),"")</f>
        <v/>
      </c>
    </row>
    <row r="781" spans="2:13" x14ac:dyDescent="0.3">
      <c r="B781" s="142">
        <v>47000</v>
      </c>
      <c r="C781" s="143" t="s">
        <v>41</v>
      </c>
      <c r="D781" s="144"/>
      <c r="E781" s="143" t="s">
        <v>22</v>
      </c>
      <c r="F781" s="144"/>
      <c r="G781" s="147"/>
      <c r="H781" s="148" t="str">
        <f>IF(WORKDAY(B781-1,1,공휴일!$B$4:$B$24)=B781,IF(WORKDAY(B781,1,공휴일!$B$4:$B$24)&lt;&gt;B781+1,"금요일","평일"),IF(WORKDAY(B781,1,공휴일!$B$4:$B$24)&lt;&gt;B781+1,"토요일","일요일"))</f>
        <v>평일</v>
      </c>
      <c r="I781" s="125" t="str">
        <f t="shared" si="53"/>
        <v>2028-09</v>
      </c>
      <c r="J781" s="93" t="str">
        <f t="shared" si="50"/>
        <v>송남철</v>
      </c>
      <c r="K781" s="93" t="str">
        <f t="shared" si="51"/>
        <v>서진호</v>
      </c>
      <c r="L781" s="16" t="str">
        <f t="shared" si="52"/>
        <v>월</v>
      </c>
      <c r="M781" s="17" t="str">
        <f>IFERROR(VLOOKUP(B781,공휴일!B:C,2,0),"")</f>
        <v/>
      </c>
    </row>
    <row r="782" spans="2:13" x14ac:dyDescent="0.3">
      <c r="B782" s="142">
        <v>47001</v>
      </c>
      <c r="C782" s="143" t="s">
        <v>17</v>
      </c>
      <c r="D782" s="144"/>
      <c r="E782" s="143" t="s">
        <v>11</v>
      </c>
      <c r="F782" s="144"/>
      <c r="G782" s="147"/>
      <c r="H782" s="148" t="str">
        <f>IF(WORKDAY(B782-1,1,공휴일!$B$4:$B$24)=B782,IF(WORKDAY(B782,1,공휴일!$B$4:$B$24)&lt;&gt;B782+1,"금요일","평일"),IF(WORKDAY(B782,1,공휴일!$B$4:$B$24)&lt;&gt;B782+1,"토요일","일요일"))</f>
        <v>평일</v>
      </c>
      <c r="I782" s="125" t="str">
        <f t="shared" si="53"/>
        <v>2028-09</v>
      </c>
      <c r="J782" s="93" t="str">
        <f t="shared" si="50"/>
        <v>신혜원</v>
      </c>
      <c r="K782" s="93" t="str">
        <f t="shared" si="51"/>
        <v>장민우</v>
      </c>
      <c r="L782" s="16" t="str">
        <f t="shared" si="52"/>
        <v>화</v>
      </c>
      <c r="M782" s="17" t="str">
        <f>IFERROR(VLOOKUP(B782,공휴일!B:C,2,0),"")</f>
        <v/>
      </c>
    </row>
    <row r="783" spans="2:13" x14ac:dyDescent="0.3">
      <c r="B783" s="142">
        <v>47002</v>
      </c>
      <c r="C783" s="143" t="s">
        <v>40</v>
      </c>
      <c r="D783" s="144"/>
      <c r="E783" s="143" t="s">
        <v>19</v>
      </c>
      <c r="F783" s="144"/>
      <c r="G783" s="147"/>
      <c r="H783" s="148" t="str">
        <f>IF(WORKDAY(B783-1,1,공휴일!$B$4:$B$24)=B783,IF(WORKDAY(B783,1,공휴일!$B$4:$B$24)&lt;&gt;B783+1,"금요일","평일"),IF(WORKDAY(B783,1,공휴일!$B$4:$B$24)&lt;&gt;B783+1,"토요일","일요일"))</f>
        <v>평일</v>
      </c>
      <c r="I783" s="125" t="str">
        <f t="shared" si="53"/>
        <v>2028-09</v>
      </c>
      <c r="J783" s="93" t="str">
        <f t="shared" si="50"/>
        <v>여철호</v>
      </c>
      <c r="K783" s="93" t="str">
        <f t="shared" si="51"/>
        <v>우정수</v>
      </c>
      <c r="L783" s="16" t="str">
        <f t="shared" si="52"/>
        <v>수</v>
      </c>
      <c r="M783" s="17" t="str">
        <f>IFERROR(VLOOKUP(B783,공휴일!B:C,2,0),"")</f>
        <v/>
      </c>
    </row>
    <row r="784" spans="2:13" x14ac:dyDescent="0.3">
      <c r="B784" s="142">
        <v>47003</v>
      </c>
      <c r="C784" s="143" t="s">
        <v>15</v>
      </c>
      <c r="D784" s="144"/>
      <c r="E784" s="143" t="s">
        <v>44</v>
      </c>
      <c r="F784" s="144"/>
      <c r="G784" s="147"/>
      <c r="H784" s="148" t="str">
        <f>IF(WORKDAY(B784-1,1,공휴일!$B$4:$B$24)=B784,IF(WORKDAY(B784,1,공휴일!$B$4:$B$24)&lt;&gt;B784+1,"금요일","평일"),IF(WORKDAY(B784,1,공휴일!$B$4:$B$24)&lt;&gt;B784+1,"토요일","일요일"))</f>
        <v>평일</v>
      </c>
      <c r="I784" s="125" t="str">
        <f t="shared" si="53"/>
        <v>2028-09</v>
      </c>
      <c r="J784" s="93" t="str">
        <f t="shared" si="50"/>
        <v>구민아</v>
      </c>
      <c r="K784" s="93" t="str">
        <f t="shared" si="51"/>
        <v>오기희</v>
      </c>
      <c r="L784" s="16" t="str">
        <f t="shared" si="52"/>
        <v>목</v>
      </c>
      <c r="M784" s="17" t="str">
        <f>IFERROR(VLOOKUP(B784,공휴일!B:C,2,0),"")</f>
        <v/>
      </c>
    </row>
    <row r="785" spans="2:13" x14ac:dyDescent="0.3">
      <c r="B785" s="142">
        <v>47004</v>
      </c>
      <c r="C785" s="143" t="s">
        <v>14</v>
      </c>
      <c r="D785" s="144"/>
      <c r="E785" s="143" t="s">
        <v>18</v>
      </c>
      <c r="F785" s="144"/>
      <c r="G785" s="147"/>
      <c r="H785" s="148" t="str">
        <f>IF(WORKDAY(B785-1,1,공휴일!$B$4:$B$24)=B785,IF(WORKDAY(B785,1,공휴일!$B$4:$B$24)&lt;&gt;B785+1,"금요일","평일"),IF(WORKDAY(B785,1,공휴일!$B$4:$B$24)&lt;&gt;B785+1,"토요일","일요일"))</f>
        <v>금요일</v>
      </c>
      <c r="I785" s="125" t="str">
        <f t="shared" si="53"/>
        <v>2028-09</v>
      </c>
      <c r="J785" s="93" t="str">
        <f t="shared" si="50"/>
        <v>고석규</v>
      </c>
      <c r="K785" s="93" t="str">
        <f t="shared" si="51"/>
        <v>이승현</v>
      </c>
      <c r="L785" s="16" t="str">
        <f t="shared" si="52"/>
        <v>금</v>
      </c>
      <c r="M785" s="17" t="str">
        <f>IFERROR(VLOOKUP(B785,공휴일!B:C,2,0),"")</f>
        <v/>
      </c>
    </row>
    <row r="786" spans="2:13" x14ac:dyDescent="0.3">
      <c r="B786" s="142">
        <v>47005</v>
      </c>
      <c r="C786" s="143" t="s">
        <v>12</v>
      </c>
      <c r="D786" s="144"/>
      <c r="E786" s="143" t="s">
        <v>10</v>
      </c>
      <c r="F786" s="144"/>
      <c r="G786" s="147"/>
      <c r="H786" s="148" t="str">
        <f>IF(WORKDAY(B786-1,1,공휴일!$B$4:$B$24)=B786,IF(WORKDAY(B786,1,공휴일!$B$4:$B$24)&lt;&gt;B786+1,"금요일","평일"),IF(WORKDAY(B786,1,공휴일!$B$4:$B$24)&lt;&gt;B786+1,"토요일","일요일"))</f>
        <v>토요일</v>
      </c>
      <c r="I786" s="125" t="str">
        <f t="shared" si="53"/>
        <v>2028-09</v>
      </c>
      <c r="J786" s="93" t="str">
        <f t="shared" si="50"/>
        <v>한문영</v>
      </c>
      <c r="K786" s="93" t="str">
        <f t="shared" si="51"/>
        <v>유진수</v>
      </c>
      <c r="L786" s="16" t="str">
        <f t="shared" si="52"/>
        <v>토</v>
      </c>
      <c r="M786" s="17" t="str">
        <f>IFERROR(VLOOKUP(B786,공휴일!B:C,2,0),"")</f>
        <v/>
      </c>
    </row>
    <row r="787" spans="2:13" x14ac:dyDescent="0.3">
      <c r="B787" s="142">
        <v>47006</v>
      </c>
      <c r="C787" s="143" t="s">
        <v>16</v>
      </c>
      <c r="D787" s="144"/>
      <c r="E787" s="143" t="s">
        <v>20</v>
      </c>
      <c r="F787" s="144"/>
      <c r="G787" s="147"/>
      <c r="H787" s="148" t="str">
        <f>IF(WORKDAY(B787-1,1,공휴일!$B$4:$B$24)=B787,IF(WORKDAY(B787,1,공휴일!$B$4:$B$24)&lt;&gt;B787+1,"금요일","평일"),IF(WORKDAY(B787,1,공휴일!$B$4:$B$24)&lt;&gt;B787+1,"토요일","일요일"))</f>
        <v>일요일</v>
      </c>
      <c r="I787" s="125" t="str">
        <f t="shared" si="53"/>
        <v>2028-09</v>
      </c>
      <c r="J787" s="93" t="str">
        <f t="shared" si="50"/>
        <v>이현숙</v>
      </c>
      <c r="K787" s="93" t="str">
        <f t="shared" si="51"/>
        <v>이원철</v>
      </c>
      <c r="L787" s="16" t="str">
        <f t="shared" si="52"/>
        <v>일</v>
      </c>
      <c r="M787" s="17" t="str">
        <f>IFERROR(VLOOKUP(B787,공휴일!B:C,2,0),"")</f>
        <v/>
      </c>
    </row>
    <row r="788" spans="2:13" x14ac:dyDescent="0.3">
      <c r="B788" s="142">
        <v>47007</v>
      </c>
      <c r="C788" s="143" t="s">
        <v>13</v>
      </c>
      <c r="D788" s="144"/>
      <c r="E788" s="143" t="s">
        <v>21</v>
      </c>
      <c r="F788" s="144"/>
      <c r="G788" s="147"/>
      <c r="H788" s="148" t="str">
        <f>IF(WORKDAY(B788-1,1,공휴일!$B$4:$B$24)=B788,IF(WORKDAY(B788,1,공휴일!$B$4:$B$24)&lt;&gt;B788+1,"금요일","평일"),IF(WORKDAY(B788,1,공휴일!$B$4:$B$24)&lt;&gt;B788+1,"토요일","일요일"))</f>
        <v>평일</v>
      </c>
      <c r="I788" s="125" t="str">
        <f t="shared" si="53"/>
        <v>2028-09</v>
      </c>
      <c r="J788" s="93" t="str">
        <f t="shared" si="50"/>
        <v>안지영</v>
      </c>
      <c r="K788" s="93" t="str">
        <f t="shared" si="51"/>
        <v>정찬웅</v>
      </c>
      <c r="L788" s="16" t="str">
        <f t="shared" si="52"/>
        <v>월</v>
      </c>
      <c r="M788" s="17" t="str">
        <f>IFERROR(VLOOKUP(B788,공휴일!B:C,2,0),"")</f>
        <v/>
      </c>
    </row>
    <row r="789" spans="2:13" x14ac:dyDescent="0.3">
      <c r="B789" s="142">
        <v>47008</v>
      </c>
      <c r="C789" s="143" t="s">
        <v>41</v>
      </c>
      <c r="D789" s="144"/>
      <c r="E789" s="143" t="s">
        <v>22</v>
      </c>
      <c r="F789" s="144"/>
      <c r="G789" s="147"/>
      <c r="H789" s="148" t="str">
        <f>IF(WORKDAY(B789-1,1,공휴일!$B$4:$B$24)=B789,IF(WORKDAY(B789,1,공휴일!$B$4:$B$24)&lt;&gt;B789+1,"금요일","평일"),IF(WORKDAY(B789,1,공휴일!$B$4:$B$24)&lt;&gt;B789+1,"토요일","일요일"))</f>
        <v>평일</v>
      </c>
      <c r="I789" s="125" t="str">
        <f t="shared" si="53"/>
        <v>2028-09</v>
      </c>
      <c r="J789" s="93" t="str">
        <f t="shared" si="50"/>
        <v>송남철</v>
      </c>
      <c r="K789" s="93" t="str">
        <f t="shared" si="51"/>
        <v>서진호</v>
      </c>
      <c r="L789" s="16" t="str">
        <f t="shared" si="52"/>
        <v>화</v>
      </c>
      <c r="M789" s="17" t="str">
        <f>IFERROR(VLOOKUP(B789,공휴일!B:C,2,0),"")</f>
        <v/>
      </c>
    </row>
    <row r="790" spans="2:13" x14ac:dyDescent="0.3">
      <c r="B790" s="142">
        <v>47009</v>
      </c>
      <c r="C790" s="143" t="s">
        <v>17</v>
      </c>
      <c r="D790" s="144"/>
      <c r="E790" s="143" t="s">
        <v>11</v>
      </c>
      <c r="F790" s="144"/>
      <c r="G790" s="147"/>
      <c r="H790" s="148" t="str">
        <f>IF(WORKDAY(B790-1,1,공휴일!$B$4:$B$24)=B790,IF(WORKDAY(B790,1,공휴일!$B$4:$B$24)&lt;&gt;B790+1,"금요일","평일"),IF(WORKDAY(B790,1,공휴일!$B$4:$B$24)&lt;&gt;B790+1,"토요일","일요일"))</f>
        <v>평일</v>
      </c>
      <c r="I790" s="125" t="str">
        <f t="shared" si="53"/>
        <v>2028-09</v>
      </c>
      <c r="J790" s="93" t="str">
        <f t="shared" si="50"/>
        <v>신혜원</v>
      </c>
      <c r="K790" s="93" t="str">
        <f t="shared" si="51"/>
        <v>장민우</v>
      </c>
      <c r="L790" s="16" t="str">
        <f t="shared" si="52"/>
        <v>수</v>
      </c>
      <c r="M790" s="17" t="str">
        <f>IFERROR(VLOOKUP(B790,공휴일!B:C,2,0),"")</f>
        <v/>
      </c>
    </row>
    <row r="791" spans="2:13" x14ac:dyDescent="0.3">
      <c r="B791" s="142">
        <v>47010</v>
      </c>
      <c r="C791" s="143" t="s">
        <v>40</v>
      </c>
      <c r="D791" s="144"/>
      <c r="E791" s="143" t="s">
        <v>19</v>
      </c>
      <c r="F791" s="144"/>
      <c r="G791" s="147"/>
      <c r="H791" s="148" t="str">
        <f>IF(WORKDAY(B791-1,1,공휴일!$B$4:$B$24)=B791,IF(WORKDAY(B791,1,공휴일!$B$4:$B$24)&lt;&gt;B791+1,"금요일","평일"),IF(WORKDAY(B791,1,공휴일!$B$4:$B$24)&lt;&gt;B791+1,"토요일","일요일"))</f>
        <v>평일</v>
      </c>
      <c r="I791" s="125" t="str">
        <f t="shared" si="53"/>
        <v>2028-09</v>
      </c>
      <c r="J791" s="93" t="str">
        <f t="shared" si="50"/>
        <v>여철호</v>
      </c>
      <c r="K791" s="93" t="str">
        <f t="shared" si="51"/>
        <v>우정수</v>
      </c>
      <c r="L791" s="16" t="str">
        <f t="shared" si="52"/>
        <v>목</v>
      </c>
      <c r="M791" s="17" t="str">
        <f>IFERROR(VLOOKUP(B791,공휴일!B:C,2,0),"")</f>
        <v/>
      </c>
    </row>
    <row r="792" spans="2:13" x14ac:dyDescent="0.3">
      <c r="B792" s="142">
        <v>47011</v>
      </c>
      <c r="C792" s="143" t="s">
        <v>15</v>
      </c>
      <c r="D792" s="144"/>
      <c r="E792" s="143" t="s">
        <v>44</v>
      </c>
      <c r="F792" s="144"/>
      <c r="G792" s="147"/>
      <c r="H792" s="148" t="str">
        <f>IF(WORKDAY(B792-1,1,공휴일!$B$4:$B$24)=B792,IF(WORKDAY(B792,1,공휴일!$B$4:$B$24)&lt;&gt;B792+1,"금요일","평일"),IF(WORKDAY(B792,1,공휴일!$B$4:$B$24)&lt;&gt;B792+1,"토요일","일요일"))</f>
        <v>금요일</v>
      </c>
      <c r="I792" s="125" t="str">
        <f t="shared" si="53"/>
        <v>2028-09</v>
      </c>
      <c r="J792" s="93" t="str">
        <f t="shared" si="50"/>
        <v>구민아</v>
      </c>
      <c r="K792" s="93" t="str">
        <f t="shared" si="51"/>
        <v>오기희</v>
      </c>
      <c r="L792" s="16" t="str">
        <f t="shared" si="52"/>
        <v>금</v>
      </c>
      <c r="M792" s="17" t="str">
        <f>IFERROR(VLOOKUP(B792,공휴일!B:C,2,0),"")</f>
        <v/>
      </c>
    </row>
    <row r="793" spans="2:13" x14ac:dyDescent="0.3">
      <c r="B793" s="142">
        <v>47012</v>
      </c>
      <c r="C793" s="143" t="s">
        <v>14</v>
      </c>
      <c r="D793" s="144"/>
      <c r="E793" s="143" t="s">
        <v>18</v>
      </c>
      <c r="F793" s="144"/>
      <c r="G793" s="147"/>
      <c r="H793" s="148" t="str">
        <f>IF(WORKDAY(B793-1,1,공휴일!$B$4:$B$24)=B793,IF(WORKDAY(B793,1,공휴일!$B$4:$B$24)&lt;&gt;B793+1,"금요일","평일"),IF(WORKDAY(B793,1,공휴일!$B$4:$B$24)&lt;&gt;B793+1,"토요일","일요일"))</f>
        <v>토요일</v>
      </c>
      <c r="I793" s="125" t="str">
        <f t="shared" si="53"/>
        <v>2028-09</v>
      </c>
      <c r="J793" s="93" t="str">
        <f t="shared" si="50"/>
        <v>고석규</v>
      </c>
      <c r="K793" s="93" t="str">
        <f t="shared" si="51"/>
        <v>이승현</v>
      </c>
      <c r="L793" s="16" t="str">
        <f t="shared" si="52"/>
        <v>토</v>
      </c>
      <c r="M793" s="17" t="str">
        <f>IFERROR(VLOOKUP(B793,공휴일!B:C,2,0),"")</f>
        <v/>
      </c>
    </row>
    <row r="794" spans="2:13" x14ac:dyDescent="0.3">
      <c r="B794" s="142">
        <v>47013</v>
      </c>
      <c r="C794" s="143" t="s">
        <v>12</v>
      </c>
      <c r="D794" s="144"/>
      <c r="E794" s="143" t="s">
        <v>10</v>
      </c>
      <c r="F794" s="144"/>
      <c r="G794" s="147"/>
      <c r="H794" s="148" t="str">
        <f>IF(WORKDAY(B794-1,1,공휴일!$B$4:$B$24)=B794,IF(WORKDAY(B794,1,공휴일!$B$4:$B$24)&lt;&gt;B794+1,"금요일","평일"),IF(WORKDAY(B794,1,공휴일!$B$4:$B$24)&lt;&gt;B794+1,"토요일","일요일"))</f>
        <v>일요일</v>
      </c>
      <c r="I794" s="125" t="str">
        <f t="shared" si="53"/>
        <v>2028-09</v>
      </c>
      <c r="J794" s="93" t="str">
        <f t="shared" si="50"/>
        <v>한문영</v>
      </c>
      <c r="K794" s="93" t="str">
        <f t="shared" si="51"/>
        <v>유진수</v>
      </c>
      <c r="L794" s="16" t="str">
        <f t="shared" si="52"/>
        <v>일</v>
      </c>
      <c r="M794" s="17" t="str">
        <f>IFERROR(VLOOKUP(B794,공휴일!B:C,2,0),"")</f>
        <v/>
      </c>
    </row>
    <row r="795" spans="2:13" x14ac:dyDescent="0.3">
      <c r="B795" s="142">
        <v>47014</v>
      </c>
      <c r="C795" s="143" t="s">
        <v>16</v>
      </c>
      <c r="D795" s="144"/>
      <c r="E795" s="143" t="s">
        <v>20</v>
      </c>
      <c r="F795" s="144"/>
      <c r="G795" s="147"/>
      <c r="H795" s="148" t="str">
        <f>IF(WORKDAY(B795-1,1,공휴일!$B$4:$B$24)=B795,IF(WORKDAY(B795,1,공휴일!$B$4:$B$24)&lt;&gt;B795+1,"금요일","평일"),IF(WORKDAY(B795,1,공휴일!$B$4:$B$24)&lt;&gt;B795+1,"토요일","일요일"))</f>
        <v>평일</v>
      </c>
      <c r="I795" s="125" t="str">
        <f t="shared" si="53"/>
        <v>2028-09</v>
      </c>
      <c r="J795" s="93" t="str">
        <f t="shared" si="50"/>
        <v>이현숙</v>
      </c>
      <c r="K795" s="93" t="str">
        <f t="shared" si="51"/>
        <v>이원철</v>
      </c>
      <c r="L795" s="16" t="str">
        <f t="shared" si="52"/>
        <v>월</v>
      </c>
      <c r="M795" s="17" t="str">
        <f>IFERROR(VLOOKUP(B795,공휴일!B:C,2,0),"")</f>
        <v/>
      </c>
    </row>
    <row r="796" spans="2:13" x14ac:dyDescent="0.3">
      <c r="B796" s="142">
        <v>47015</v>
      </c>
      <c r="C796" s="143" t="s">
        <v>13</v>
      </c>
      <c r="D796" s="144"/>
      <c r="E796" s="143" t="s">
        <v>21</v>
      </c>
      <c r="F796" s="144"/>
      <c r="G796" s="147"/>
      <c r="H796" s="148" t="str">
        <f>IF(WORKDAY(B796-1,1,공휴일!$B$4:$B$24)=B796,IF(WORKDAY(B796,1,공휴일!$B$4:$B$24)&lt;&gt;B796+1,"금요일","평일"),IF(WORKDAY(B796,1,공휴일!$B$4:$B$24)&lt;&gt;B796+1,"토요일","일요일"))</f>
        <v>평일</v>
      </c>
      <c r="I796" s="125" t="str">
        <f t="shared" si="53"/>
        <v>2028-09</v>
      </c>
      <c r="J796" s="93" t="str">
        <f t="shared" si="50"/>
        <v>안지영</v>
      </c>
      <c r="K796" s="93" t="str">
        <f t="shared" si="51"/>
        <v>정찬웅</v>
      </c>
      <c r="L796" s="16" t="str">
        <f t="shared" si="52"/>
        <v>화</v>
      </c>
      <c r="M796" s="17" t="str">
        <f>IFERROR(VLOOKUP(B796,공휴일!B:C,2,0),"")</f>
        <v/>
      </c>
    </row>
    <row r="797" spans="2:13" x14ac:dyDescent="0.3">
      <c r="B797" s="142">
        <v>47016</v>
      </c>
      <c r="C797" s="143" t="s">
        <v>41</v>
      </c>
      <c r="D797" s="144"/>
      <c r="E797" s="143" t="s">
        <v>22</v>
      </c>
      <c r="F797" s="144"/>
      <c r="G797" s="147"/>
      <c r="H797" s="148" t="str">
        <f>IF(WORKDAY(B797-1,1,공휴일!$B$4:$B$24)=B797,IF(WORKDAY(B797,1,공휴일!$B$4:$B$24)&lt;&gt;B797+1,"금요일","평일"),IF(WORKDAY(B797,1,공휴일!$B$4:$B$24)&lt;&gt;B797+1,"토요일","일요일"))</f>
        <v>평일</v>
      </c>
      <c r="I797" s="125" t="str">
        <f t="shared" si="53"/>
        <v>2028-09</v>
      </c>
      <c r="J797" s="93" t="str">
        <f t="shared" si="50"/>
        <v>송남철</v>
      </c>
      <c r="K797" s="93" t="str">
        <f t="shared" si="51"/>
        <v>서진호</v>
      </c>
      <c r="L797" s="16" t="str">
        <f t="shared" si="52"/>
        <v>수</v>
      </c>
      <c r="M797" s="17" t="str">
        <f>IFERROR(VLOOKUP(B797,공휴일!B:C,2,0),"")</f>
        <v/>
      </c>
    </row>
    <row r="798" spans="2:13" x14ac:dyDescent="0.3">
      <c r="B798" s="142">
        <v>47017</v>
      </c>
      <c r="C798" s="143" t="s">
        <v>17</v>
      </c>
      <c r="D798" s="144"/>
      <c r="E798" s="143" t="s">
        <v>11</v>
      </c>
      <c r="F798" s="144"/>
      <c r="G798" s="147"/>
      <c r="H798" s="148" t="str">
        <f>IF(WORKDAY(B798-1,1,공휴일!$B$4:$B$24)=B798,IF(WORKDAY(B798,1,공휴일!$B$4:$B$24)&lt;&gt;B798+1,"금요일","평일"),IF(WORKDAY(B798,1,공휴일!$B$4:$B$24)&lt;&gt;B798+1,"토요일","일요일"))</f>
        <v>평일</v>
      </c>
      <c r="I798" s="125" t="str">
        <f t="shared" si="53"/>
        <v>2028-09</v>
      </c>
      <c r="J798" s="93" t="str">
        <f t="shared" si="50"/>
        <v>신혜원</v>
      </c>
      <c r="K798" s="93" t="str">
        <f t="shared" si="51"/>
        <v>장민우</v>
      </c>
      <c r="L798" s="16" t="str">
        <f t="shared" si="52"/>
        <v>목</v>
      </c>
      <c r="M798" s="17" t="str">
        <f>IFERROR(VLOOKUP(B798,공휴일!B:C,2,0),"")</f>
        <v/>
      </c>
    </row>
    <row r="799" spans="2:13" x14ac:dyDescent="0.3">
      <c r="B799" s="142">
        <v>47018</v>
      </c>
      <c r="C799" s="143" t="s">
        <v>40</v>
      </c>
      <c r="D799" s="144"/>
      <c r="E799" s="143" t="s">
        <v>19</v>
      </c>
      <c r="F799" s="144"/>
      <c r="G799" s="147"/>
      <c r="H799" s="148" t="str">
        <f>IF(WORKDAY(B799-1,1,공휴일!$B$4:$B$24)=B799,IF(WORKDAY(B799,1,공휴일!$B$4:$B$24)&lt;&gt;B799+1,"금요일","평일"),IF(WORKDAY(B799,1,공휴일!$B$4:$B$24)&lt;&gt;B799+1,"토요일","일요일"))</f>
        <v>금요일</v>
      </c>
      <c r="I799" s="125" t="str">
        <f t="shared" si="53"/>
        <v>2028-09</v>
      </c>
      <c r="J799" s="93" t="str">
        <f t="shared" si="50"/>
        <v>여철호</v>
      </c>
      <c r="K799" s="93" t="str">
        <f t="shared" si="51"/>
        <v>우정수</v>
      </c>
      <c r="L799" s="16" t="str">
        <f t="shared" si="52"/>
        <v>금</v>
      </c>
      <c r="M799" s="17" t="str">
        <f>IFERROR(VLOOKUP(B799,공휴일!B:C,2,0),"")</f>
        <v>추석연휴</v>
      </c>
    </row>
    <row r="800" spans="2:13" x14ac:dyDescent="0.3">
      <c r="B800" s="142">
        <v>47019</v>
      </c>
      <c r="C800" s="143" t="s">
        <v>15</v>
      </c>
      <c r="D800" s="144"/>
      <c r="E800" s="143" t="s">
        <v>44</v>
      </c>
      <c r="F800" s="144"/>
      <c r="G800" s="147"/>
      <c r="H800" s="148" t="str">
        <f>IF(WORKDAY(B800-1,1,공휴일!$B$4:$B$24)=B800,IF(WORKDAY(B800,1,공휴일!$B$4:$B$24)&lt;&gt;B800+1,"금요일","평일"),IF(WORKDAY(B800,1,공휴일!$B$4:$B$24)&lt;&gt;B800+1,"토요일","일요일"))</f>
        <v>토요일</v>
      </c>
      <c r="I800" s="125" t="str">
        <f t="shared" si="53"/>
        <v>2028-09</v>
      </c>
      <c r="J800" s="93" t="str">
        <f t="shared" si="50"/>
        <v>구민아</v>
      </c>
      <c r="K800" s="93" t="str">
        <f t="shared" si="51"/>
        <v>오기희</v>
      </c>
      <c r="L800" s="16" t="str">
        <f t="shared" si="52"/>
        <v>토</v>
      </c>
      <c r="M800" s="17" t="str">
        <f>IFERROR(VLOOKUP(B800,공휴일!B:C,2,0),"")</f>
        <v>추석</v>
      </c>
    </row>
    <row r="801" spans="2:13" x14ac:dyDescent="0.3">
      <c r="B801" s="142">
        <v>47020</v>
      </c>
      <c r="C801" s="143" t="s">
        <v>14</v>
      </c>
      <c r="D801" s="144"/>
      <c r="E801" s="143" t="s">
        <v>18</v>
      </c>
      <c r="F801" s="144"/>
      <c r="G801" s="147"/>
      <c r="H801" s="148" t="str">
        <f>IF(WORKDAY(B801-1,1,공휴일!$B$4:$B$24)=B801,IF(WORKDAY(B801,1,공휴일!$B$4:$B$24)&lt;&gt;B801+1,"금요일","평일"),IF(WORKDAY(B801,1,공휴일!$B$4:$B$24)&lt;&gt;B801+1,"토요일","일요일"))</f>
        <v>일요일</v>
      </c>
      <c r="I801" s="125" t="str">
        <f t="shared" si="53"/>
        <v>2028-09</v>
      </c>
      <c r="J801" s="93" t="str">
        <f t="shared" si="50"/>
        <v>고석규</v>
      </c>
      <c r="K801" s="93" t="str">
        <f t="shared" si="51"/>
        <v>이승현</v>
      </c>
      <c r="L801" s="16" t="str">
        <f t="shared" si="52"/>
        <v>일</v>
      </c>
      <c r="M801" s="17" t="str">
        <f>IFERROR(VLOOKUP(B801,공휴일!B:C,2,0),"")</f>
        <v>추석연휴</v>
      </c>
    </row>
    <row r="802" spans="2:13" x14ac:dyDescent="0.3">
      <c r="B802" s="142">
        <v>47021</v>
      </c>
      <c r="C802" s="143" t="s">
        <v>12</v>
      </c>
      <c r="D802" s="144"/>
      <c r="E802" s="143" t="s">
        <v>10</v>
      </c>
      <c r="F802" s="144"/>
      <c r="G802" s="147"/>
      <c r="H802" s="148" t="str">
        <f>IF(WORKDAY(B802-1,1,공휴일!$B$4:$B$24)=B802,IF(WORKDAY(B802,1,공휴일!$B$4:$B$24)&lt;&gt;B802+1,"금요일","평일"),IF(WORKDAY(B802,1,공휴일!$B$4:$B$24)&lt;&gt;B802+1,"토요일","일요일"))</f>
        <v>평일</v>
      </c>
      <c r="I802" s="125" t="str">
        <f t="shared" si="53"/>
        <v>2028-09</v>
      </c>
      <c r="J802" s="93" t="str">
        <f t="shared" si="50"/>
        <v>한문영</v>
      </c>
      <c r="K802" s="93" t="str">
        <f t="shared" si="51"/>
        <v>유진수</v>
      </c>
      <c r="L802" s="16" t="str">
        <f t="shared" si="52"/>
        <v>월</v>
      </c>
      <c r="M802" s="17" t="str">
        <f>IFERROR(VLOOKUP(B802,공휴일!B:C,2,0),"")</f>
        <v>대체공휴일</v>
      </c>
    </row>
    <row r="803" spans="2:13" x14ac:dyDescent="0.3">
      <c r="B803" s="142">
        <v>47022</v>
      </c>
      <c r="C803" s="143" t="s">
        <v>16</v>
      </c>
      <c r="D803" s="144"/>
      <c r="E803" s="143" t="s">
        <v>20</v>
      </c>
      <c r="F803" s="144"/>
      <c r="G803" s="147"/>
      <c r="H803" s="148" t="str">
        <f>IF(WORKDAY(B803-1,1,공휴일!$B$4:$B$24)=B803,IF(WORKDAY(B803,1,공휴일!$B$4:$B$24)&lt;&gt;B803+1,"금요일","평일"),IF(WORKDAY(B803,1,공휴일!$B$4:$B$24)&lt;&gt;B803+1,"토요일","일요일"))</f>
        <v>평일</v>
      </c>
      <c r="I803" s="125" t="str">
        <f t="shared" si="53"/>
        <v>2028-09</v>
      </c>
      <c r="J803" s="93" t="str">
        <f t="shared" si="50"/>
        <v>이현숙</v>
      </c>
      <c r="K803" s="93" t="str">
        <f t="shared" si="51"/>
        <v>이원철</v>
      </c>
      <c r="L803" s="16" t="str">
        <f t="shared" si="52"/>
        <v>화</v>
      </c>
      <c r="M803" s="17" t="str">
        <f>IFERROR(VLOOKUP(B803,공휴일!B:C,2,0),"")</f>
        <v>대체공휴일</v>
      </c>
    </row>
    <row r="804" spans="2:13" x14ac:dyDescent="0.3">
      <c r="B804" s="142">
        <v>47023</v>
      </c>
      <c r="C804" s="143" t="s">
        <v>13</v>
      </c>
      <c r="D804" s="144"/>
      <c r="E804" s="143" t="s">
        <v>21</v>
      </c>
      <c r="F804" s="144"/>
      <c r="G804" s="147"/>
      <c r="H804" s="148" t="str">
        <f>IF(WORKDAY(B804-1,1,공휴일!$B$4:$B$24)=B804,IF(WORKDAY(B804,1,공휴일!$B$4:$B$24)&lt;&gt;B804+1,"금요일","평일"),IF(WORKDAY(B804,1,공휴일!$B$4:$B$24)&lt;&gt;B804+1,"토요일","일요일"))</f>
        <v>평일</v>
      </c>
      <c r="I804" s="125" t="str">
        <f t="shared" si="53"/>
        <v>2028-09</v>
      </c>
      <c r="J804" s="93" t="str">
        <f t="shared" si="50"/>
        <v>안지영</v>
      </c>
      <c r="K804" s="93" t="str">
        <f t="shared" si="51"/>
        <v>정찬웅</v>
      </c>
      <c r="L804" s="16" t="str">
        <f t="shared" si="52"/>
        <v>수</v>
      </c>
      <c r="M804" s="17" t="str">
        <f>IFERROR(VLOOKUP(B804,공휴일!B:C,2,0),"")</f>
        <v/>
      </c>
    </row>
    <row r="805" spans="2:13" x14ac:dyDescent="0.3">
      <c r="B805" s="142">
        <v>47024</v>
      </c>
      <c r="C805" s="143" t="s">
        <v>41</v>
      </c>
      <c r="D805" s="144"/>
      <c r="E805" s="143" t="s">
        <v>22</v>
      </c>
      <c r="F805" s="144"/>
      <c r="G805" s="147"/>
      <c r="H805" s="148" t="str">
        <f>IF(WORKDAY(B805-1,1,공휴일!$B$4:$B$24)=B805,IF(WORKDAY(B805,1,공휴일!$B$4:$B$24)&lt;&gt;B805+1,"금요일","평일"),IF(WORKDAY(B805,1,공휴일!$B$4:$B$24)&lt;&gt;B805+1,"토요일","일요일"))</f>
        <v>평일</v>
      </c>
      <c r="I805" s="125" t="str">
        <f t="shared" si="53"/>
        <v>2028-09</v>
      </c>
      <c r="J805" s="93" t="str">
        <f t="shared" si="50"/>
        <v>송남철</v>
      </c>
      <c r="K805" s="93" t="str">
        <f t="shared" si="51"/>
        <v>서진호</v>
      </c>
      <c r="L805" s="16" t="str">
        <f t="shared" si="52"/>
        <v>목</v>
      </c>
      <c r="M805" s="17" t="str">
        <f>IFERROR(VLOOKUP(B805,공휴일!B:C,2,0),"")</f>
        <v/>
      </c>
    </row>
    <row r="806" spans="2:13" x14ac:dyDescent="0.3">
      <c r="B806" s="142">
        <v>47025</v>
      </c>
      <c r="C806" s="143" t="s">
        <v>17</v>
      </c>
      <c r="D806" s="144"/>
      <c r="E806" s="143" t="s">
        <v>11</v>
      </c>
      <c r="F806" s="144"/>
      <c r="G806" s="147"/>
      <c r="H806" s="148" t="str">
        <f>IF(WORKDAY(B806-1,1,공휴일!$B$4:$B$24)=B806,IF(WORKDAY(B806,1,공휴일!$B$4:$B$24)&lt;&gt;B806+1,"금요일","평일"),IF(WORKDAY(B806,1,공휴일!$B$4:$B$24)&lt;&gt;B806+1,"토요일","일요일"))</f>
        <v>금요일</v>
      </c>
      <c r="I806" s="125" t="str">
        <f t="shared" si="53"/>
        <v>2028-09</v>
      </c>
      <c r="J806" s="93" t="str">
        <f t="shared" si="50"/>
        <v>신혜원</v>
      </c>
      <c r="K806" s="93" t="str">
        <f t="shared" si="51"/>
        <v>장민우</v>
      </c>
      <c r="L806" s="16" t="str">
        <f t="shared" si="52"/>
        <v>금</v>
      </c>
      <c r="M806" s="17" t="str">
        <f>IFERROR(VLOOKUP(B806,공휴일!B:C,2,0),"")</f>
        <v/>
      </c>
    </row>
    <row r="807" spans="2:13" x14ac:dyDescent="0.3">
      <c r="B807" s="142">
        <v>47026</v>
      </c>
      <c r="C807" s="143" t="s">
        <v>40</v>
      </c>
      <c r="D807" s="144"/>
      <c r="E807" s="143" t="s">
        <v>19</v>
      </c>
      <c r="F807" s="144"/>
      <c r="G807" s="147"/>
      <c r="H807" s="148" t="str">
        <f>IF(WORKDAY(B807-1,1,공휴일!$B$4:$B$24)=B807,IF(WORKDAY(B807,1,공휴일!$B$4:$B$24)&lt;&gt;B807+1,"금요일","평일"),IF(WORKDAY(B807,1,공휴일!$B$4:$B$24)&lt;&gt;B807+1,"토요일","일요일"))</f>
        <v>토요일</v>
      </c>
      <c r="I807" s="125" t="str">
        <f t="shared" si="53"/>
        <v>2028-09</v>
      </c>
      <c r="J807" s="93" t="str">
        <f t="shared" si="50"/>
        <v>여철호</v>
      </c>
      <c r="K807" s="93" t="str">
        <f t="shared" si="51"/>
        <v>우정수</v>
      </c>
      <c r="L807" s="16" t="str">
        <f t="shared" si="52"/>
        <v>토</v>
      </c>
      <c r="M807" s="17" t="str">
        <f>IFERROR(VLOOKUP(B807,공휴일!B:C,2,0),"")</f>
        <v/>
      </c>
    </row>
    <row r="808" spans="2:13" x14ac:dyDescent="0.3">
      <c r="B808" s="142">
        <v>47027</v>
      </c>
      <c r="C808" s="143" t="s">
        <v>15</v>
      </c>
      <c r="D808" s="144"/>
      <c r="E808" s="143" t="s">
        <v>44</v>
      </c>
      <c r="F808" s="144"/>
      <c r="G808" s="147"/>
      <c r="H808" s="148" t="str">
        <f>IF(WORKDAY(B808-1,1,공휴일!$B$4:$B$24)=B808,IF(WORKDAY(B808,1,공휴일!$B$4:$B$24)&lt;&gt;B808+1,"금요일","평일"),IF(WORKDAY(B808,1,공휴일!$B$4:$B$24)&lt;&gt;B808+1,"토요일","일요일"))</f>
        <v>일요일</v>
      </c>
      <c r="I808" s="125" t="str">
        <f t="shared" si="53"/>
        <v>2028-10</v>
      </c>
      <c r="J808" s="93" t="str">
        <f t="shared" si="50"/>
        <v>구민아</v>
      </c>
      <c r="K808" s="93" t="str">
        <f t="shared" si="51"/>
        <v>오기희</v>
      </c>
      <c r="L808" s="16" t="str">
        <f t="shared" si="52"/>
        <v>일</v>
      </c>
      <c r="M808" s="17" t="str">
        <f>IFERROR(VLOOKUP(B808,공휴일!B:C,2,0),"")</f>
        <v/>
      </c>
    </row>
    <row r="809" spans="2:13" x14ac:dyDescent="0.3">
      <c r="B809" s="142">
        <v>47028</v>
      </c>
      <c r="C809" s="143" t="s">
        <v>14</v>
      </c>
      <c r="D809" s="144"/>
      <c r="E809" s="143" t="s">
        <v>18</v>
      </c>
      <c r="F809" s="144"/>
      <c r="G809" s="147"/>
      <c r="H809" s="148" t="str">
        <f>IF(WORKDAY(B809-1,1,공휴일!$B$4:$B$24)=B809,IF(WORKDAY(B809,1,공휴일!$B$4:$B$24)&lt;&gt;B809+1,"금요일","평일"),IF(WORKDAY(B809,1,공휴일!$B$4:$B$24)&lt;&gt;B809+1,"토요일","일요일"))</f>
        <v>평일</v>
      </c>
      <c r="I809" s="125" t="str">
        <f t="shared" si="53"/>
        <v>2028-10</v>
      </c>
      <c r="J809" s="93" t="str">
        <f t="shared" ref="J809:J847" si="54">IF(D809="",C809,D809)</f>
        <v>고석규</v>
      </c>
      <c r="K809" s="93" t="str">
        <f t="shared" ref="K809:K847" si="55">IF(F809="",E809,F809)</f>
        <v>이승현</v>
      </c>
      <c r="L809" s="16" t="str">
        <f t="shared" ref="L809:L847" si="56">TEXT(B809,"aaa")</f>
        <v>월</v>
      </c>
      <c r="M809" s="17" t="str">
        <f>IFERROR(VLOOKUP(B809,공휴일!B:C,2,0),"")</f>
        <v/>
      </c>
    </row>
    <row r="810" spans="2:13" x14ac:dyDescent="0.3">
      <c r="B810" s="142">
        <v>47029</v>
      </c>
      <c r="C810" s="143" t="s">
        <v>12</v>
      </c>
      <c r="D810" s="144"/>
      <c r="E810" s="143" t="s">
        <v>10</v>
      </c>
      <c r="F810" s="144"/>
      <c r="G810" s="147"/>
      <c r="H810" s="148" t="str">
        <f>IF(WORKDAY(B810-1,1,공휴일!$B$4:$B$24)=B810,IF(WORKDAY(B810,1,공휴일!$B$4:$B$24)&lt;&gt;B810+1,"금요일","평일"),IF(WORKDAY(B810,1,공휴일!$B$4:$B$24)&lt;&gt;B810+1,"토요일","일요일"))</f>
        <v>평일</v>
      </c>
      <c r="I810" s="125" t="str">
        <f t="shared" si="53"/>
        <v>2028-10</v>
      </c>
      <c r="J810" s="93" t="str">
        <f t="shared" si="54"/>
        <v>한문영</v>
      </c>
      <c r="K810" s="93" t="str">
        <f t="shared" si="55"/>
        <v>유진수</v>
      </c>
      <c r="L810" s="16" t="str">
        <f t="shared" si="56"/>
        <v>화</v>
      </c>
      <c r="M810" s="17" t="str">
        <f>IFERROR(VLOOKUP(B810,공휴일!B:C,2,0),"")</f>
        <v>개천절</v>
      </c>
    </row>
    <row r="811" spans="2:13" x14ac:dyDescent="0.3">
      <c r="B811" s="142">
        <v>47030</v>
      </c>
      <c r="C811" s="143" t="s">
        <v>16</v>
      </c>
      <c r="D811" s="144"/>
      <c r="E811" s="143" t="s">
        <v>20</v>
      </c>
      <c r="F811" s="144"/>
      <c r="G811" s="147"/>
      <c r="H811" s="148" t="str">
        <f>IF(WORKDAY(B811-1,1,공휴일!$B$4:$B$24)=B811,IF(WORKDAY(B811,1,공휴일!$B$4:$B$24)&lt;&gt;B811+1,"금요일","평일"),IF(WORKDAY(B811,1,공휴일!$B$4:$B$24)&lt;&gt;B811+1,"토요일","일요일"))</f>
        <v>평일</v>
      </c>
      <c r="I811" s="125" t="str">
        <f t="shared" si="53"/>
        <v>2028-10</v>
      </c>
      <c r="J811" s="93" t="str">
        <f t="shared" si="54"/>
        <v>이현숙</v>
      </c>
      <c r="K811" s="93" t="str">
        <f t="shared" si="55"/>
        <v>이원철</v>
      </c>
      <c r="L811" s="16" t="str">
        <f t="shared" si="56"/>
        <v>수</v>
      </c>
      <c r="M811" s="17" t="str">
        <f>IFERROR(VLOOKUP(B811,공휴일!B:C,2,0),"")</f>
        <v/>
      </c>
    </row>
    <row r="812" spans="2:13" x14ac:dyDescent="0.3">
      <c r="B812" s="142">
        <v>47031</v>
      </c>
      <c r="C812" s="143" t="s">
        <v>13</v>
      </c>
      <c r="D812" s="144"/>
      <c r="E812" s="143" t="s">
        <v>21</v>
      </c>
      <c r="F812" s="144"/>
      <c r="G812" s="147"/>
      <c r="H812" s="148" t="str">
        <f>IF(WORKDAY(B812-1,1,공휴일!$B$4:$B$24)=B812,IF(WORKDAY(B812,1,공휴일!$B$4:$B$24)&lt;&gt;B812+1,"금요일","평일"),IF(WORKDAY(B812,1,공휴일!$B$4:$B$24)&lt;&gt;B812+1,"토요일","일요일"))</f>
        <v>평일</v>
      </c>
      <c r="I812" s="125" t="str">
        <f t="shared" si="53"/>
        <v>2028-10</v>
      </c>
      <c r="J812" s="93" t="str">
        <f t="shared" si="54"/>
        <v>안지영</v>
      </c>
      <c r="K812" s="93" t="str">
        <f t="shared" si="55"/>
        <v>정찬웅</v>
      </c>
      <c r="L812" s="16" t="str">
        <f t="shared" si="56"/>
        <v>목</v>
      </c>
      <c r="M812" s="17" t="str">
        <f>IFERROR(VLOOKUP(B812,공휴일!B:C,2,0),"")</f>
        <v/>
      </c>
    </row>
    <row r="813" spans="2:13" x14ac:dyDescent="0.3">
      <c r="B813" s="142">
        <v>47032</v>
      </c>
      <c r="C813" s="143" t="s">
        <v>41</v>
      </c>
      <c r="D813" s="144"/>
      <c r="E813" s="143" t="s">
        <v>22</v>
      </c>
      <c r="F813" s="144"/>
      <c r="G813" s="147"/>
      <c r="H813" s="148" t="str">
        <f>IF(WORKDAY(B813-1,1,공휴일!$B$4:$B$24)=B813,IF(WORKDAY(B813,1,공휴일!$B$4:$B$24)&lt;&gt;B813+1,"금요일","평일"),IF(WORKDAY(B813,1,공휴일!$B$4:$B$24)&lt;&gt;B813+1,"토요일","일요일"))</f>
        <v>금요일</v>
      </c>
      <c r="I813" s="125" t="str">
        <f t="shared" si="53"/>
        <v>2028-10</v>
      </c>
      <c r="J813" s="93" t="str">
        <f t="shared" si="54"/>
        <v>송남철</v>
      </c>
      <c r="K813" s="93" t="str">
        <f t="shared" si="55"/>
        <v>서진호</v>
      </c>
      <c r="L813" s="16" t="str">
        <f t="shared" si="56"/>
        <v>금</v>
      </c>
      <c r="M813" s="17" t="str">
        <f>IFERROR(VLOOKUP(B813,공휴일!B:C,2,0),"")</f>
        <v/>
      </c>
    </row>
    <row r="814" spans="2:13" x14ac:dyDescent="0.3">
      <c r="B814" s="142">
        <v>47033</v>
      </c>
      <c r="C814" s="143" t="s">
        <v>17</v>
      </c>
      <c r="D814" s="144"/>
      <c r="E814" s="143" t="s">
        <v>11</v>
      </c>
      <c r="F814" s="144"/>
      <c r="G814" s="147"/>
      <c r="H814" s="148" t="str">
        <f>IF(WORKDAY(B814-1,1,공휴일!$B$4:$B$24)=B814,IF(WORKDAY(B814,1,공휴일!$B$4:$B$24)&lt;&gt;B814+1,"금요일","평일"),IF(WORKDAY(B814,1,공휴일!$B$4:$B$24)&lt;&gt;B814+1,"토요일","일요일"))</f>
        <v>토요일</v>
      </c>
      <c r="I814" s="125" t="str">
        <f t="shared" si="53"/>
        <v>2028-10</v>
      </c>
      <c r="J814" s="93" t="str">
        <f t="shared" si="54"/>
        <v>신혜원</v>
      </c>
      <c r="K814" s="93" t="str">
        <f t="shared" si="55"/>
        <v>장민우</v>
      </c>
      <c r="L814" s="16" t="str">
        <f t="shared" si="56"/>
        <v>토</v>
      </c>
      <c r="M814" s="17" t="str">
        <f>IFERROR(VLOOKUP(B814,공휴일!B:C,2,0),"")</f>
        <v/>
      </c>
    </row>
    <row r="815" spans="2:13" x14ac:dyDescent="0.3">
      <c r="B815" s="142">
        <v>47034</v>
      </c>
      <c r="C815" s="143" t="s">
        <v>40</v>
      </c>
      <c r="D815" s="144"/>
      <c r="E815" s="143" t="s">
        <v>19</v>
      </c>
      <c r="F815" s="144"/>
      <c r="G815" s="147"/>
      <c r="H815" s="148" t="str">
        <f>IF(WORKDAY(B815-1,1,공휴일!$B$4:$B$24)=B815,IF(WORKDAY(B815,1,공휴일!$B$4:$B$24)&lt;&gt;B815+1,"금요일","평일"),IF(WORKDAY(B815,1,공휴일!$B$4:$B$24)&lt;&gt;B815+1,"토요일","일요일"))</f>
        <v>일요일</v>
      </c>
      <c r="I815" s="125" t="str">
        <f t="shared" si="53"/>
        <v>2028-10</v>
      </c>
      <c r="J815" s="93" t="str">
        <f t="shared" si="54"/>
        <v>여철호</v>
      </c>
      <c r="K815" s="93" t="str">
        <f t="shared" si="55"/>
        <v>우정수</v>
      </c>
      <c r="L815" s="16" t="str">
        <f t="shared" si="56"/>
        <v>일</v>
      </c>
      <c r="M815" s="17" t="str">
        <f>IFERROR(VLOOKUP(B815,공휴일!B:C,2,0),"")</f>
        <v/>
      </c>
    </row>
    <row r="816" spans="2:13" x14ac:dyDescent="0.3">
      <c r="B816" s="142">
        <v>47035</v>
      </c>
      <c r="C816" s="143" t="s">
        <v>15</v>
      </c>
      <c r="D816" s="144"/>
      <c r="E816" s="143" t="s">
        <v>44</v>
      </c>
      <c r="F816" s="144"/>
      <c r="G816" s="147"/>
      <c r="H816" s="148" t="str">
        <f>IF(WORKDAY(B816-1,1,공휴일!$B$4:$B$24)=B816,IF(WORKDAY(B816,1,공휴일!$B$4:$B$24)&lt;&gt;B816+1,"금요일","평일"),IF(WORKDAY(B816,1,공휴일!$B$4:$B$24)&lt;&gt;B816+1,"토요일","일요일"))</f>
        <v>평일</v>
      </c>
      <c r="I816" s="125" t="str">
        <f t="shared" si="53"/>
        <v>2028-10</v>
      </c>
      <c r="J816" s="93" t="str">
        <f t="shared" si="54"/>
        <v>구민아</v>
      </c>
      <c r="K816" s="93" t="str">
        <f t="shared" si="55"/>
        <v>오기희</v>
      </c>
      <c r="L816" s="16" t="str">
        <f t="shared" si="56"/>
        <v>월</v>
      </c>
      <c r="M816" s="17" t="str">
        <f>IFERROR(VLOOKUP(B816,공휴일!B:C,2,0),"")</f>
        <v>한글날</v>
      </c>
    </row>
    <row r="817" spans="2:13" x14ac:dyDescent="0.3">
      <c r="B817" s="142">
        <v>47036</v>
      </c>
      <c r="C817" s="143" t="s">
        <v>14</v>
      </c>
      <c r="D817" s="144"/>
      <c r="E817" s="143" t="s">
        <v>18</v>
      </c>
      <c r="F817" s="144"/>
      <c r="G817" s="147"/>
      <c r="H817" s="148" t="str">
        <f>IF(WORKDAY(B817-1,1,공휴일!$B$4:$B$24)=B817,IF(WORKDAY(B817,1,공휴일!$B$4:$B$24)&lt;&gt;B817+1,"금요일","평일"),IF(WORKDAY(B817,1,공휴일!$B$4:$B$24)&lt;&gt;B817+1,"토요일","일요일"))</f>
        <v>평일</v>
      </c>
      <c r="I817" s="125" t="str">
        <f t="shared" si="53"/>
        <v>2028-10</v>
      </c>
      <c r="J817" s="93" t="str">
        <f t="shared" si="54"/>
        <v>고석규</v>
      </c>
      <c r="K817" s="93" t="str">
        <f t="shared" si="55"/>
        <v>이승현</v>
      </c>
      <c r="L817" s="16" t="str">
        <f t="shared" si="56"/>
        <v>화</v>
      </c>
      <c r="M817" s="17" t="str">
        <f>IFERROR(VLOOKUP(B817,공휴일!B:C,2,0),"")</f>
        <v/>
      </c>
    </row>
    <row r="818" spans="2:13" x14ac:dyDescent="0.3">
      <c r="B818" s="142">
        <v>47037</v>
      </c>
      <c r="C818" s="143" t="s">
        <v>12</v>
      </c>
      <c r="D818" s="144"/>
      <c r="E818" s="143" t="s">
        <v>10</v>
      </c>
      <c r="F818" s="144"/>
      <c r="G818" s="147"/>
      <c r="H818" s="148" t="str">
        <f>IF(WORKDAY(B818-1,1,공휴일!$B$4:$B$24)=B818,IF(WORKDAY(B818,1,공휴일!$B$4:$B$24)&lt;&gt;B818+1,"금요일","평일"),IF(WORKDAY(B818,1,공휴일!$B$4:$B$24)&lt;&gt;B818+1,"토요일","일요일"))</f>
        <v>평일</v>
      </c>
      <c r="I818" s="125" t="str">
        <f t="shared" si="53"/>
        <v>2028-10</v>
      </c>
      <c r="J818" s="93" t="str">
        <f t="shared" si="54"/>
        <v>한문영</v>
      </c>
      <c r="K818" s="93" t="str">
        <f t="shared" si="55"/>
        <v>유진수</v>
      </c>
      <c r="L818" s="16" t="str">
        <f t="shared" si="56"/>
        <v>수</v>
      </c>
      <c r="M818" s="17" t="str">
        <f>IFERROR(VLOOKUP(B818,공휴일!B:C,2,0),"")</f>
        <v/>
      </c>
    </row>
    <row r="819" spans="2:13" x14ac:dyDescent="0.3">
      <c r="B819" s="142">
        <v>47038</v>
      </c>
      <c r="C819" s="143" t="s">
        <v>16</v>
      </c>
      <c r="D819" s="144"/>
      <c r="E819" s="143" t="s">
        <v>20</v>
      </c>
      <c r="F819" s="144"/>
      <c r="G819" s="147"/>
      <c r="H819" s="148" t="str">
        <f>IF(WORKDAY(B819-1,1,공휴일!$B$4:$B$24)=B819,IF(WORKDAY(B819,1,공휴일!$B$4:$B$24)&lt;&gt;B819+1,"금요일","평일"),IF(WORKDAY(B819,1,공휴일!$B$4:$B$24)&lt;&gt;B819+1,"토요일","일요일"))</f>
        <v>평일</v>
      </c>
      <c r="I819" s="125" t="str">
        <f t="shared" si="53"/>
        <v>2028-10</v>
      </c>
      <c r="J819" s="93" t="str">
        <f t="shared" si="54"/>
        <v>이현숙</v>
      </c>
      <c r="K819" s="93" t="str">
        <f t="shared" si="55"/>
        <v>이원철</v>
      </c>
      <c r="L819" s="16" t="str">
        <f t="shared" si="56"/>
        <v>목</v>
      </c>
      <c r="M819" s="17" t="str">
        <f>IFERROR(VLOOKUP(B819,공휴일!B:C,2,0),"")</f>
        <v/>
      </c>
    </row>
    <row r="820" spans="2:13" x14ac:dyDescent="0.3">
      <c r="B820" s="142">
        <v>47039</v>
      </c>
      <c r="C820" s="143" t="s">
        <v>13</v>
      </c>
      <c r="D820" s="144"/>
      <c r="E820" s="143" t="s">
        <v>21</v>
      </c>
      <c r="F820" s="144"/>
      <c r="G820" s="147"/>
      <c r="H820" s="148" t="str">
        <f>IF(WORKDAY(B820-1,1,공휴일!$B$4:$B$24)=B820,IF(WORKDAY(B820,1,공휴일!$B$4:$B$24)&lt;&gt;B820+1,"금요일","평일"),IF(WORKDAY(B820,1,공휴일!$B$4:$B$24)&lt;&gt;B820+1,"토요일","일요일"))</f>
        <v>금요일</v>
      </c>
      <c r="I820" s="125" t="str">
        <f t="shared" si="53"/>
        <v>2028-10</v>
      </c>
      <c r="J820" s="93" t="str">
        <f t="shared" si="54"/>
        <v>안지영</v>
      </c>
      <c r="K820" s="93" t="str">
        <f t="shared" si="55"/>
        <v>정찬웅</v>
      </c>
      <c r="L820" s="16" t="str">
        <f t="shared" si="56"/>
        <v>금</v>
      </c>
      <c r="M820" s="17" t="str">
        <f>IFERROR(VLOOKUP(B820,공휴일!B:C,2,0),"")</f>
        <v/>
      </c>
    </row>
    <row r="821" spans="2:13" x14ac:dyDescent="0.3">
      <c r="B821" s="142">
        <v>47040</v>
      </c>
      <c r="C821" s="143" t="s">
        <v>41</v>
      </c>
      <c r="D821" s="144"/>
      <c r="E821" s="143" t="s">
        <v>22</v>
      </c>
      <c r="F821" s="144"/>
      <c r="G821" s="147"/>
      <c r="H821" s="148" t="str">
        <f>IF(WORKDAY(B821-1,1,공휴일!$B$4:$B$24)=B821,IF(WORKDAY(B821,1,공휴일!$B$4:$B$24)&lt;&gt;B821+1,"금요일","평일"),IF(WORKDAY(B821,1,공휴일!$B$4:$B$24)&lt;&gt;B821+1,"토요일","일요일"))</f>
        <v>토요일</v>
      </c>
      <c r="I821" s="125" t="str">
        <f t="shared" si="53"/>
        <v>2028-10</v>
      </c>
      <c r="J821" s="93" t="str">
        <f t="shared" si="54"/>
        <v>송남철</v>
      </c>
      <c r="K821" s="93" t="str">
        <f t="shared" si="55"/>
        <v>서진호</v>
      </c>
      <c r="L821" s="16" t="str">
        <f t="shared" si="56"/>
        <v>토</v>
      </c>
      <c r="M821" s="17" t="str">
        <f>IFERROR(VLOOKUP(B821,공휴일!B:C,2,0),"")</f>
        <v/>
      </c>
    </row>
    <row r="822" spans="2:13" x14ac:dyDescent="0.3">
      <c r="B822" s="142">
        <v>47041</v>
      </c>
      <c r="C822" s="143" t="s">
        <v>17</v>
      </c>
      <c r="D822" s="144"/>
      <c r="E822" s="143" t="s">
        <v>11</v>
      </c>
      <c r="F822" s="144"/>
      <c r="G822" s="147"/>
      <c r="H822" s="148" t="str">
        <f>IF(WORKDAY(B822-1,1,공휴일!$B$4:$B$24)=B822,IF(WORKDAY(B822,1,공휴일!$B$4:$B$24)&lt;&gt;B822+1,"금요일","평일"),IF(WORKDAY(B822,1,공휴일!$B$4:$B$24)&lt;&gt;B822+1,"토요일","일요일"))</f>
        <v>일요일</v>
      </c>
      <c r="I822" s="125" t="str">
        <f t="shared" si="53"/>
        <v>2028-10</v>
      </c>
      <c r="J822" s="93" t="str">
        <f t="shared" si="54"/>
        <v>신혜원</v>
      </c>
      <c r="K822" s="93" t="str">
        <f t="shared" si="55"/>
        <v>장민우</v>
      </c>
      <c r="L822" s="16" t="str">
        <f t="shared" si="56"/>
        <v>일</v>
      </c>
      <c r="M822" s="17" t="str">
        <f>IFERROR(VLOOKUP(B822,공휴일!B:C,2,0),"")</f>
        <v/>
      </c>
    </row>
    <row r="823" spans="2:13" x14ac:dyDescent="0.3">
      <c r="B823" s="142">
        <v>47042</v>
      </c>
      <c r="C823" s="143" t="s">
        <v>40</v>
      </c>
      <c r="D823" s="144"/>
      <c r="E823" s="143" t="s">
        <v>19</v>
      </c>
      <c r="F823" s="144"/>
      <c r="G823" s="147"/>
      <c r="H823" s="148" t="str">
        <f>IF(WORKDAY(B823-1,1,공휴일!$B$4:$B$24)=B823,IF(WORKDAY(B823,1,공휴일!$B$4:$B$24)&lt;&gt;B823+1,"금요일","평일"),IF(WORKDAY(B823,1,공휴일!$B$4:$B$24)&lt;&gt;B823+1,"토요일","일요일"))</f>
        <v>평일</v>
      </c>
      <c r="I823" s="125" t="str">
        <f t="shared" si="53"/>
        <v>2028-10</v>
      </c>
      <c r="J823" s="93" t="str">
        <f t="shared" si="54"/>
        <v>여철호</v>
      </c>
      <c r="K823" s="93" t="str">
        <f t="shared" si="55"/>
        <v>우정수</v>
      </c>
      <c r="L823" s="16" t="str">
        <f t="shared" si="56"/>
        <v>월</v>
      </c>
      <c r="M823" s="17" t="str">
        <f>IFERROR(VLOOKUP(B823,공휴일!B:C,2,0),"")</f>
        <v/>
      </c>
    </row>
    <row r="824" spans="2:13" x14ac:dyDescent="0.3">
      <c r="B824" s="142">
        <v>47043</v>
      </c>
      <c r="C824" s="143" t="s">
        <v>15</v>
      </c>
      <c r="D824" s="144"/>
      <c r="E824" s="143" t="s">
        <v>44</v>
      </c>
      <c r="F824" s="144"/>
      <c r="G824" s="147"/>
      <c r="H824" s="148" t="str">
        <f>IF(WORKDAY(B824-1,1,공휴일!$B$4:$B$24)=B824,IF(WORKDAY(B824,1,공휴일!$B$4:$B$24)&lt;&gt;B824+1,"금요일","평일"),IF(WORKDAY(B824,1,공휴일!$B$4:$B$24)&lt;&gt;B824+1,"토요일","일요일"))</f>
        <v>평일</v>
      </c>
      <c r="I824" s="125" t="str">
        <f t="shared" si="53"/>
        <v>2028-10</v>
      </c>
      <c r="J824" s="93" t="str">
        <f t="shared" si="54"/>
        <v>구민아</v>
      </c>
      <c r="K824" s="93" t="str">
        <f t="shared" si="55"/>
        <v>오기희</v>
      </c>
      <c r="L824" s="16" t="str">
        <f t="shared" si="56"/>
        <v>화</v>
      </c>
      <c r="M824" s="17" t="str">
        <f>IFERROR(VLOOKUP(B824,공휴일!B:C,2,0),"")</f>
        <v/>
      </c>
    </row>
    <row r="825" spans="2:13" x14ac:dyDescent="0.3">
      <c r="B825" s="142">
        <v>47044</v>
      </c>
      <c r="C825" s="143" t="s">
        <v>14</v>
      </c>
      <c r="D825" s="144"/>
      <c r="E825" s="143" t="s">
        <v>18</v>
      </c>
      <c r="F825" s="144"/>
      <c r="G825" s="147"/>
      <c r="H825" s="148" t="str">
        <f>IF(WORKDAY(B825-1,1,공휴일!$B$4:$B$24)=B825,IF(WORKDAY(B825,1,공휴일!$B$4:$B$24)&lt;&gt;B825+1,"금요일","평일"),IF(WORKDAY(B825,1,공휴일!$B$4:$B$24)&lt;&gt;B825+1,"토요일","일요일"))</f>
        <v>평일</v>
      </c>
      <c r="I825" s="125" t="str">
        <f t="shared" si="53"/>
        <v>2028-10</v>
      </c>
      <c r="J825" s="93" t="str">
        <f t="shared" si="54"/>
        <v>고석규</v>
      </c>
      <c r="K825" s="93" t="str">
        <f t="shared" si="55"/>
        <v>이승현</v>
      </c>
      <c r="L825" s="16" t="str">
        <f t="shared" si="56"/>
        <v>수</v>
      </c>
      <c r="M825" s="17" t="str">
        <f>IFERROR(VLOOKUP(B825,공휴일!B:C,2,0),"")</f>
        <v/>
      </c>
    </row>
    <row r="826" spans="2:13" x14ac:dyDescent="0.3">
      <c r="B826" s="142">
        <v>47045</v>
      </c>
      <c r="C826" s="143" t="s">
        <v>12</v>
      </c>
      <c r="D826" s="144"/>
      <c r="E826" s="143" t="s">
        <v>10</v>
      </c>
      <c r="F826" s="144"/>
      <c r="G826" s="147"/>
      <c r="H826" s="148" t="str">
        <f>IF(WORKDAY(B826-1,1,공휴일!$B$4:$B$24)=B826,IF(WORKDAY(B826,1,공휴일!$B$4:$B$24)&lt;&gt;B826+1,"금요일","평일"),IF(WORKDAY(B826,1,공휴일!$B$4:$B$24)&lt;&gt;B826+1,"토요일","일요일"))</f>
        <v>평일</v>
      </c>
      <c r="I826" s="125" t="str">
        <f t="shared" si="53"/>
        <v>2028-10</v>
      </c>
      <c r="J826" s="93" t="str">
        <f t="shared" si="54"/>
        <v>한문영</v>
      </c>
      <c r="K826" s="93" t="str">
        <f t="shared" si="55"/>
        <v>유진수</v>
      </c>
      <c r="L826" s="16" t="str">
        <f t="shared" si="56"/>
        <v>목</v>
      </c>
      <c r="M826" s="17" t="str">
        <f>IFERROR(VLOOKUP(B826,공휴일!B:C,2,0),"")</f>
        <v/>
      </c>
    </row>
    <row r="827" spans="2:13" x14ac:dyDescent="0.3">
      <c r="B827" s="142">
        <v>47046</v>
      </c>
      <c r="C827" s="143" t="s">
        <v>16</v>
      </c>
      <c r="D827" s="144"/>
      <c r="E827" s="143" t="s">
        <v>20</v>
      </c>
      <c r="F827" s="144"/>
      <c r="G827" s="147"/>
      <c r="H827" s="148" t="str">
        <f>IF(WORKDAY(B827-1,1,공휴일!$B$4:$B$24)=B827,IF(WORKDAY(B827,1,공휴일!$B$4:$B$24)&lt;&gt;B827+1,"금요일","평일"),IF(WORKDAY(B827,1,공휴일!$B$4:$B$24)&lt;&gt;B827+1,"토요일","일요일"))</f>
        <v>금요일</v>
      </c>
      <c r="I827" s="125" t="str">
        <f t="shared" si="53"/>
        <v>2028-10</v>
      </c>
      <c r="J827" s="93" t="str">
        <f t="shared" si="54"/>
        <v>이현숙</v>
      </c>
      <c r="K827" s="93" t="str">
        <f t="shared" si="55"/>
        <v>이원철</v>
      </c>
      <c r="L827" s="16" t="str">
        <f t="shared" si="56"/>
        <v>금</v>
      </c>
      <c r="M827" s="17" t="str">
        <f>IFERROR(VLOOKUP(B827,공휴일!B:C,2,0),"")</f>
        <v/>
      </c>
    </row>
    <row r="828" spans="2:13" x14ac:dyDescent="0.3">
      <c r="B828" s="142">
        <v>47047</v>
      </c>
      <c r="C828" s="143" t="s">
        <v>13</v>
      </c>
      <c r="D828" s="144"/>
      <c r="E828" s="143" t="s">
        <v>21</v>
      </c>
      <c r="F828" s="144"/>
      <c r="G828" s="147"/>
      <c r="H828" s="148" t="str">
        <f>IF(WORKDAY(B828-1,1,공휴일!$B$4:$B$24)=B828,IF(WORKDAY(B828,1,공휴일!$B$4:$B$24)&lt;&gt;B828+1,"금요일","평일"),IF(WORKDAY(B828,1,공휴일!$B$4:$B$24)&lt;&gt;B828+1,"토요일","일요일"))</f>
        <v>토요일</v>
      </c>
      <c r="I828" s="125" t="str">
        <f t="shared" si="53"/>
        <v>2028-10</v>
      </c>
      <c r="J828" s="93" t="str">
        <f t="shared" si="54"/>
        <v>안지영</v>
      </c>
      <c r="K828" s="93" t="str">
        <f t="shared" si="55"/>
        <v>정찬웅</v>
      </c>
      <c r="L828" s="16" t="str">
        <f t="shared" si="56"/>
        <v>토</v>
      </c>
      <c r="M828" s="17" t="str">
        <f>IFERROR(VLOOKUP(B828,공휴일!B:C,2,0),"")</f>
        <v/>
      </c>
    </row>
    <row r="829" spans="2:13" x14ac:dyDescent="0.3">
      <c r="B829" s="142">
        <v>47048</v>
      </c>
      <c r="C829" s="143" t="s">
        <v>41</v>
      </c>
      <c r="D829" s="144"/>
      <c r="E829" s="143" t="s">
        <v>22</v>
      </c>
      <c r="F829" s="144"/>
      <c r="G829" s="147"/>
      <c r="H829" s="148" t="str">
        <f>IF(WORKDAY(B829-1,1,공휴일!$B$4:$B$24)=B829,IF(WORKDAY(B829,1,공휴일!$B$4:$B$24)&lt;&gt;B829+1,"금요일","평일"),IF(WORKDAY(B829,1,공휴일!$B$4:$B$24)&lt;&gt;B829+1,"토요일","일요일"))</f>
        <v>일요일</v>
      </c>
      <c r="I829" s="125" t="str">
        <f t="shared" si="53"/>
        <v>2028-10</v>
      </c>
      <c r="J829" s="93" t="str">
        <f t="shared" si="54"/>
        <v>송남철</v>
      </c>
      <c r="K829" s="93" t="str">
        <f t="shared" si="55"/>
        <v>서진호</v>
      </c>
      <c r="L829" s="16" t="str">
        <f t="shared" si="56"/>
        <v>일</v>
      </c>
      <c r="M829" s="17" t="str">
        <f>IFERROR(VLOOKUP(B829,공휴일!B:C,2,0),"")</f>
        <v/>
      </c>
    </row>
    <row r="830" spans="2:13" x14ac:dyDescent="0.3">
      <c r="B830" s="142">
        <v>47049</v>
      </c>
      <c r="C830" s="143" t="s">
        <v>17</v>
      </c>
      <c r="D830" s="144"/>
      <c r="E830" s="143" t="s">
        <v>11</v>
      </c>
      <c r="F830" s="144"/>
      <c r="G830" s="147"/>
      <c r="H830" s="148" t="str">
        <f>IF(WORKDAY(B830-1,1,공휴일!$B$4:$B$24)=B830,IF(WORKDAY(B830,1,공휴일!$B$4:$B$24)&lt;&gt;B830+1,"금요일","평일"),IF(WORKDAY(B830,1,공휴일!$B$4:$B$24)&lt;&gt;B830+1,"토요일","일요일"))</f>
        <v>평일</v>
      </c>
      <c r="I830" s="125" t="str">
        <f t="shared" si="53"/>
        <v>2028-10</v>
      </c>
      <c r="J830" s="93" t="str">
        <f t="shared" si="54"/>
        <v>신혜원</v>
      </c>
      <c r="K830" s="93" t="str">
        <f t="shared" si="55"/>
        <v>장민우</v>
      </c>
      <c r="L830" s="16" t="str">
        <f t="shared" si="56"/>
        <v>월</v>
      </c>
      <c r="M830" s="17" t="str">
        <f>IFERROR(VLOOKUP(B830,공휴일!B:C,2,0),"")</f>
        <v/>
      </c>
    </row>
    <row r="831" spans="2:13" x14ac:dyDescent="0.3">
      <c r="B831" s="142">
        <v>47050</v>
      </c>
      <c r="C831" s="143" t="s">
        <v>40</v>
      </c>
      <c r="D831" s="144"/>
      <c r="E831" s="143" t="s">
        <v>19</v>
      </c>
      <c r="F831" s="144"/>
      <c r="G831" s="147"/>
      <c r="H831" s="148" t="str">
        <f>IF(WORKDAY(B831-1,1,공휴일!$B$4:$B$24)=B831,IF(WORKDAY(B831,1,공휴일!$B$4:$B$24)&lt;&gt;B831+1,"금요일","평일"),IF(WORKDAY(B831,1,공휴일!$B$4:$B$24)&lt;&gt;B831+1,"토요일","일요일"))</f>
        <v>평일</v>
      </c>
      <c r="I831" s="125" t="str">
        <f t="shared" si="53"/>
        <v>2028-10</v>
      </c>
      <c r="J831" s="93" t="str">
        <f t="shared" si="54"/>
        <v>여철호</v>
      </c>
      <c r="K831" s="93" t="str">
        <f t="shared" si="55"/>
        <v>우정수</v>
      </c>
      <c r="L831" s="16" t="str">
        <f t="shared" si="56"/>
        <v>화</v>
      </c>
      <c r="M831" s="17" t="str">
        <f>IFERROR(VLOOKUP(B831,공휴일!B:C,2,0),"")</f>
        <v/>
      </c>
    </row>
    <row r="832" spans="2:13" x14ac:dyDescent="0.3">
      <c r="B832" s="142">
        <v>47051</v>
      </c>
      <c r="C832" s="143" t="s">
        <v>15</v>
      </c>
      <c r="D832" s="144"/>
      <c r="E832" s="143" t="s">
        <v>44</v>
      </c>
      <c r="F832" s="144"/>
      <c r="G832" s="147"/>
      <c r="H832" s="148" t="str">
        <f>IF(WORKDAY(B832-1,1,공휴일!$B$4:$B$24)=B832,IF(WORKDAY(B832,1,공휴일!$B$4:$B$24)&lt;&gt;B832+1,"금요일","평일"),IF(WORKDAY(B832,1,공휴일!$B$4:$B$24)&lt;&gt;B832+1,"토요일","일요일"))</f>
        <v>평일</v>
      </c>
      <c r="I832" s="125" t="str">
        <f t="shared" si="53"/>
        <v>2028-10</v>
      </c>
      <c r="J832" s="93" t="str">
        <f t="shared" si="54"/>
        <v>구민아</v>
      </c>
      <c r="K832" s="93" t="str">
        <f t="shared" si="55"/>
        <v>오기희</v>
      </c>
      <c r="L832" s="16" t="str">
        <f t="shared" si="56"/>
        <v>수</v>
      </c>
      <c r="M832" s="17" t="str">
        <f>IFERROR(VLOOKUP(B832,공휴일!B:C,2,0),"")</f>
        <v/>
      </c>
    </row>
    <row r="833" spans="2:13" x14ac:dyDescent="0.3">
      <c r="B833" s="142">
        <v>47052</v>
      </c>
      <c r="C833" s="143" t="s">
        <v>14</v>
      </c>
      <c r="D833" s="144"/>
      <c r="E833" s="143" t="s">
        <v>18</v>
      </c>
      <c r="F833" s="144"/>
      <c r="G833" s="147"/>
      <c r="H833" s="148" t="str">
        <f>IF(WORKDAY(B833-1,1,공휴일!$B$4:$B$24)=B833,IF(WORKDAY(B833,1,공휴일!$B$4:$B$24)&lt;&gt;B833+1,"금요일","평일"),IF(WORKDAY(B833,1,공휴일!$B$4:$B$24)&lt;&gt;B833+1,"토요일","일요일"))</f>
        <v>평일</v>
      </c>
      <c r="I833" s="125" t="str">
        <f t="shared" si="53"/>
        <v>2028-10</v>
      </c>
      <c r="J833" s="93" t="str">
        <f t="shared" si="54"/>
        <v>고석규</v>
      </c>
      <c r="K833" s="93" t="str">
        <f t="shared" si="55"/>
        <v>이승현</v>
      </c>
      <c r="L833" s="16" t="str">
        <f t="shared" si="56"/>
        <v>목</v>
      </c>
      <c r="M833" s="17" t="str">
        <f>IFERROR(VLOOKUP(B833,공휴일!B:C,2,0),"")</f>
        <v/>
      </c>
    </row>
    <row r="834" spans="2:13" x14ac:dyDescent="0.3">
      <c r="B834" s="142">
        <v>47053</v>
      </c>
      <c r="C834" s="143" t="s">
        <v>12</v>
      </c>
      <c r="D834" s="144"/>
      <c r="E834" s="143" t="s">
        <v>10</v>
      </c>
      <c r="F834" s="144"/>
      <c r="G834" s="147"/>
      <c r="H834" s="148" t="str">
        <f>IF(WORKDAY(B834-1,1,공휴일!$B$4:$B$24)=B834,IF(WORKDAY(B834,1,공휴일!$B$4:$B$24)&lt;&gt;B834+1,"금요일","평일"),IF(WORKDAY(B834,1,공휴일!$B$4:$B$24)&lt;&gt;B834+1,"토요일","일요일"))</f>
        <v>금요일</v>
      </c>
      <c r="I834" s="125" t="str">
        <f t="shared" si="53"/>
        <v>2028-10</v>
      </c>
      <c r="J834" s="93" t="str">
        <f t="shared" si="54"/>
        <v>한문영</v>
      </c>
      <c r="K834" s="93" t="str">
        <f t="shared" si="55"/>
        <v>유진수</v>
      </c>
      <c r="L834" s="16" t="str">
        <f t="shared" si="56"/>
        <v>금</v>
      </c>
      <c r="M834" s="17" t="str">
        <f>IFERROR(VLOOKUP(B834,공휴일!B:C,2,0),"")</f>
        <v/>
      </c>
    </row>
    <row r="835" spans="2:13" x14ac:dyDescent="0.3">
      <c r="B835" s="142">
        <v>47054</v>
      </c>
      <c r="C835" s="143" t="s">
        <v>16</v>
      </c>
      <c r="D835" s="144"/>
      <c r="E835" s="143" t="s">
        <v>20</v>
      </c>
      <c r="F835" s="144"/>
      <c r="G835" s="147"/>
      <c r="H835" s="148" t="str">
        <f>IF(WORKDAY(B835-1,1,공휴일!$B$4:$B$24)=B835,IF(WORKDAY(B835,1,공휴일!$B$4:$B$24)&lt;&gt;B835+1,"금요일","평일"),IF(WORKDAY(B835,1,공휴일!$B$4:$B$24)&lt;&gt;B835+1,"토요일","일요일"))</f>
        <v>토요일</v>
      </c>
      <c r="I835" s="125" t="str">
        <f t="shared" si="53"/>
        <v>2028-10</v>
      </c>
      <c r="J835" s="93" t="str">
        <f t="shared" si="54"/>
        <v>이현숙</v>
      </c>
      <c r="K835" s="93" t="str">
        <f t="shared" si="55"/>
        <v>이원철</v>
      </c>
      <c r="L835" s="16" t="str">
        <f t="shared" si="56"/>
        <v>토</v>
      </c>
      <c r="M835" s="17" t="str">
        <f>IFERROR(VLOOKUP(B835,공휴일!B:C,2,0),"")</f>
        <v/>
      </c>
    </row>
    <row r="836" spans="2:13" x14ac:dyDescent="0.3">
      <c r="B836" s="142">
        <v>47055</v>
      </c>
      <c r="C836" s="143" t="s">
        <v>13</v>
      </c>
      <c r="D836" s="144"/>
      <c r="E836" s="143" t="s">
        <v>21</v>
      </c>
      <c r="F836" s="144"/>
      <c r="G836" s="147"/>
      <c r="H836" s="148" t="str">
        <f>IF(WORKDAY(B836-1,1,공휴일!$B$4:$B$24)=B836,IF(WORKDAY(B836,1,공휴일!$B$4:$B$24)&lt;&gt;B836+1,"금요일","평일"),IF(WORKDAY(B836,1,공휴일!$B$4:$B$24)&lt;&gt;B836+1,"토요일","일요일"))</f>
        <v>일요일</v>
      </c>
      <c r="I836" s="125" t="str">
        <f t="shared" si="53"/>
        <v>2028-10</v>
      </c>
      <c r="J836" s="93" t="str">
        <f t="shared" si="54"/>
        <v>안지영</v>
      </c>
      <c r="K836" s="93" t="str">
        <f t="shared" si="55"/>
        <v>정찬웅</v>
      </c>
      <c r="L836" s="16" t="str">
        <f t="shared" si="56"/>
        <v>일</v>
      </c>
      <c r="M836" s="17" t="str">
        <f>IFERROR(VLOOKUP(B836,공휴일!B:C,2,0),"")</f>
        <v/>
      </c>
    </row>
    <row r="837" spans="2:13" x14ac:dyDescent="0.3">
      <c r="B837" s="142">
        <v>47056</v>
      </c>
      <c r="C837" s="143" t="s">
        <v>41</v>
      </c>
      <c r="D837" s="144"/>
      <c r="E837" s="143" t="s">
        <v>22</v>
      </c>
      <c r="F837" s="144"/>
      <c r="G837" s="147"/>
      <c r="H837" s="148" t="str">
        <f>IF(WORKDAY(B837-1,1,공휴일!$B$4:$B$24)=B837,IF(WORKDAY(B837,1,공휴일!$B$4:$B$24)&lt;&gt;B837+1,"금요일","평일"),IF(WORKDAY(B837,1,공휴일!$B$4:$B$24)&lt;&gt;B837+1,"토요일","일요일"))</f>
        <v>평일</v>
      </c>
      <c r="I837" s="125" t="str">
        <f t="shared" si="53"/>
        <v>2028-10</v>
      </c>
      <c r="J837" s="93" t="str">
        <f t="shared" si="54"/>
        <v>송남철</v>
      </c>
      <c r="K837" s="93" t="str">
        <f t="shared" si="55"/>
        <v>서진호</v>
      </c>
      <c r="L837" s="16" t="str">
        <f t="shared" si="56"/>
        <v>월</v>
      </c>
      <c r="M837" s="17" t="str">
        <f>IFERROR(VLOOKUP(B837,공휴일!B:C,2,0),"")</f>
        <v/>
      </c>
    </row>
    <row r="838" spans="2:13" x14ac:dyDescent="0.3">
      <c r="B838" s="142">
        <v>47057</v>
      </c>
      <c r="C838" s="143" t="s">
        <v>17</v>
      </c>
      <c r="D838" s="144"/>
      <c r="E838" s="143" t="s">
        <v>11</v>
      </c>
      <c r="F838" s="144"/>
      <c r="G838" s="147"/>
      <c r="H838" s="148" t="str">
        <f>IF(WORKDAY(B838-1,1,공휴일!$B$4:$B$24)=B838,IF(WORKDAY(B838,1,공휴일!$B$4:$B$24)&lt;&gt;B838+1,"금요일","평일"),IF(WORKDAY(B838,1,공휴일!$B$4:$B$24)&lt;&gt;B838+1,"토요일","일요일"))</f>
        <v>평일</v>
      </c>
      <c r="I838" s="125" t="str">
        <f t="shared" ref="I838:I847" si="57">TEXT(B838,"yyyy-mm")</f>
        <v>2028-10</v>
      </c>
      <c r="J838" s="93" t="str">
        <f t="shared" si="54"/>
        <v>신혜원</v>
      </c>
      <c r="K838" s="93" t="str">
        <f t="shared" si="55"/>
        <v>장민우</v>
      </c>
      <c r="L838" s="16" t="str">
        <f t="shared" si="56"/>
        <v>화</v>
      </c>
      <c r="M838" s="17" t="str">
        <f>IFERROR(VLOOKUP(B838,공휴일!B:C,2,0),"")</f>
        <v/>
      </c>
    </row>
    <row r="839" spans="2:13" x14ac:dyDescent="0.3">
      <c r="B839" s="142">
        <v>47058</v>
      </c>
      <c r="C839" s="143" t="s">
        <v>40</v>
      </c>
      <c r="D839" s="144"/>
      <c r="E839" s="143" t="s">
        <v>19</v>
      </c>
      <c r="F839" s="144"/>
      <c r="G839" s="147"/>
      <c r="H839" s="148" t="str">
        <f>IF(WORKDAY(B839-1,1,공휴일!$B$4:$B$24)=B839,IF(WORKDAY(B839,1,공휴일!$B$4:$B$24)&lt;&gt;B839+1,"금요일","평일"),IF(WORKDAY(B839,1,공휴일!$B$4:$B$24)&lt;&gt;B839+1,"토요일","일요일"))</f>
        <v>평일</v>
      </c>
      <c r="I839" s="125" t="str">
        <f t="shared" si="57"/>
        <v>2028-11</v>
      </c>
      <c r="J839" s="93" t="str">
        <f t="shared" si="54"/>
        <v>여철호</v>
      </c>
      <c r="K839" s="93" t="str">
        <f t="shared" si="55"/>
        <v>우정수</v>
      </c>
      <c r="L839" s="16" t="str">
        <f t="shared" si="56"/>
        <v>수</v>
      </c>
      <c r="M839" s="17" t="str">
        <f>IFERROR(VLOOKUP(B839,공휴일!B:C,2,0),"")</f>
        <v/>
      </c>
    </row>
    <row r="840" spans="2:13" x14ac:dyDescent="0.3">
      <c r="B840" s="142">
        <v>47059</v>
      </c>
      <c r="C840" s="143" t="s">
        <v>15</v>
      </c>
      <c r="D840" s="144"/>
      <c r="E840" s="143" t="s">
        <v>44</v>
      </c>
      <c r="F840" s="144"/>
      <c r="G840" s="147"/>
      <c r="H840" s="148" t="str">
        <f>IF(WORKDAY(B840-1,1,공휴일!$B$4:$B$24)=B840,IF(WORKDAY(B840,1,공휴일!$B$4:$B$24)&lt;&gt;B840+1,"금요일","평일"),IF(WORKDAY(B840,1,공휴일!$B$4:$B$24)&lt;&gt;B840+1,"토요일","일요일"))</f>
        <v>평일</v>
      </c>
      <c r="I840" s="125" t="str">
        <f t="shared" si="57"/>
        <v>2028-11</v>
      </c>
      <c r="J840" s="93" t="str">
        <f t="shared" si="54"/>
        <v>구민아</v>
      </c>
      <c r="K840" s="93" t="str">
        <f t="shared" si="55"/>
        <v>오기희</v>
      </c>
      <c r="L840" s="16" t="str">
        <f t="shared" si="56"/>
        <v>목</v>
      </c>
      <c r="M840" s="17" t="str">
        <f>IFERROR(VLOOKUP(B840,공휴일!B:C,2,0),"")</f>
        <v/>
      </c>
    </row>
    <row r="841" spans="2:13" x14ac:dyDescent="0.3">
      <c r="B841" s="142">
        <v>47060</v>
      </c>
      <c r="C841" s="143" t="s">
        <v>14</v>
      </c>
      <c r="D841" s="144"/>
      <c r="E841" s="143" t="s">
        <v>18</v>
      </c>
      <c r="F841" s="144"/>
      <c r="G841" s="147"/>
      <c r="H841" s="148" t="str">
        <f>IF(WORKDAY(B841-1,1,공휴일!$B$4:$B$24)=B841,IF(WORKDAY(B841,1,공휴일!$B$4:$B$24)&lt;&gt;B841+1,"금요일","평일"),IF(WORKDAY(B841,1,공휴일!$B$4:$B$24)&lt;&gt;B841+1,"토요일","일요일"))</f>
        <v>금요일</v>
      </c>
      <c r="I841" s="125" t="str">
        <f t="shared" si="57"/>
        <v>2028-11</v>
      </c>
      <c r="J841" s="93" t="str">
        <f t="shared" si="54"/>
        <v>고석규</v>
      </c>
      <c r="K841" s="93" t="str">
        <f t="shared" si="55"/>
        <v>이승현</v>
      </c>
      <c r="L841" s="16" t="str">
        <f t="shared" si="56"/>
        <v>금</v>
      </c>
      <c r="M841" s="17" t="str">
        <f>IFERROR(VLOOKUP(B841,공휴일!B:C,2,0),"")</f>
        <v/>
      </c>
    </row>
    <row r="842" spans="2:13" x14ac:dyDescent="0.3">
      <c r="B842" s="142">
        <v>47061</v>
      </c>
      <c r="C842" s="143" t="s">
        <v>12</v>
      </c>
      <c r="D842" s="144"/>
      <c r="E842" s="143" t="s">
        <v>10</v>
      </c>
      <c r="F842" s="144"/>
      <c r="G842" s="147"/>
      <c r="H842" s="148" t="str">
        <f>IF(WORKDAY(B842-1,1,공휴일!$B$4:$B$24)=B842,IF(WORKDAY(B842,1,공휴일!$B$4:$B$24)&lt;&gt;B842+1,"금요일","평일"),IF(WORKDAY(B842,1,공휴일!$B$4:$B$24)&lt;&gt;B842+1,"토요일","일요일"))</f>
        <v>토요일</v>
      </c>
      <c r="I842" s="125" t="str">
        <f t="shared" si="57"/>
        <v>2028-11</v>
      </c>
      <c r="J842" s="93" t="str">
        <f t="shared" si="54"/>
        <v>한문영</v>
      </c>
      <c r="K842" s="93" t="str">
        <f t="shared" si="55"/>
        <v>유진수</v>
      </c>
      <c r="L842" s="16" t="str">
        <f t="shared" si="56"/>
        <v>토</v>
      </c>
      <c r="M842" s="17" t="str">
        <f>IFERROR(VLOOKUP(B842,공휴일!B:C,2,0),"")</f>
        <v/>
      </c>
    </row>
    <row r="843" spans="2:13" x14ac:dyDescent="0.3">
      <c r="B843" s="142">
        <v>47062</v>
      </c>
      <c r="C843" s="143" t="s">
        <v>16</v>
      </c>
      <c r="D843" s="144"/>
      <c r="E843" s="143" t="s">
        <v>20</v>
      </c>
      <c r="F843" s="144"/>
      <c r="G843" s="147"/>
      <c r="H843" s="148" t="str">
        <f>IF(WORKDAY(B843-1,1,공휴일!$B$4:$B$24)=B843,IF(WORKDAY(B843,1,공휴일!$B$4:$B$24)&lt;&gt;B843+1,"금요일","평일"),IF(WORKDAY(B843,1,공휴일!$B$4:$B$24)&lt;&gt;B843+1,"토요일","일요일"))</f>
        <v>일요일</v>
      </c>
      <c r="I843" s="125" t="str">
        <f t="shared" si="57"/>
        <v>2028-11</v>
      </c>
      <c r="J843" s="93" t="str">
        <f t="shared" si="54"/>
        <v>이현숙</v>
      </c>
      <c r="K843" s="93" t="str">
        <f t="shared" si="55"/>
        <v>이원철</v>
      </c>
      <c r="L843" s="16" t="str">
        <f t="shared" si="56"/>
        <v>일</v>
      </c>
      <c r="M843" s="17" t="str">
        <f>IFERROR(VLOOKUP(B843,공휴일!B:C,2,0),"")</f>
        <v/>
      </c>
    </row>
    <row r="844" spans="2:13" x14ac:dyDescent="0.3">
      <c r="B844" s="142">
        <v>47063</v>
      </c>
      <c r="C844" s="143" t="s">
        <v>13</v>
      </c>
      <c r="D844" s="144"/>
      <c r="E844" s="143" t="s">
        <v>21</v>
      </c>
      <c r="F844" s="144"/>
      <c r="G844" s="147"/>
      <c r="H844" s="148" t="str">
        <f>IF(WORKDAY(B844-1,1,공휴일!$B$4:$B$24)=B844,IF(WORKDAY(B844,1,공휴일!$B$4:$B$24)&lt;&gt;B844+1,"금요일","평일"),IF(WORKDAY(B844,1,공휴일!$B$4:$B$24)&lt;&gt;B844+1,"토요일","일요일"))</f>
        <v>평일</v>
      </c>
      <c r="I844" s="125" t="str">
        <f t="shared" si="57"/>
        <v>2028-11</v>
      </c>
      <c r="J844" s="93" t="str">
        <f t="shared" si="54"/>
        <v>안지영</v>
      </c>
      <c r="K844" s="93" t="str">
        <f t="shared" si="55"/>
        <v>정찬웅</v>
      </c>
      <c r="L844" s="16" t="str">
        <f t="shared" si="56"/>
        <v>월</v>
      </c>
      <c r="M844" s="17" t="str">
        <f>IFERROR(VLOOKUP(B844,공휴일!B:C,2,0),"")</f>
        <v/>
      </c>
    </row>
    <row r="845" spans="2:13" x14ac:dyDescent="0.3">
      <c r="B845" s="142">
        <v>47064</v>
      </c>
      <c r="C845" s="143" t="s">
        <v>41</v>
      </c>
      <c r="D845" s="144"/>
      <c r="E845" s="143" t="s">
        <v>22</v>
      </c>
      <c r="F845" s="144"/>
      <c r="G845" s="147"/>
      <c r="H845" s="148" t="str">
        <f>IF(WORKDAY(B845-1,1,공휴일!$B$4:$B$24)=B845,IF(WORKDAY(B845,1,공휴일!$B$4:$B$24)&lt;&gt;B845+1,"금요일","평일"),IF(WORKDAY(B845,1,공휴일!$B$4:$B$24)&lt;&gt;B845+1,"토요일","일요일"))</f>
        <v>평일</v>
      </c>
      <c r="I845" s="125" t="str">
        <f t="shared" si="57"/>
        <v>2028-11</v>
      </c>
      <c r="J845" s="93" t="str">
        <f t="shared" si="54"/>
        <v>송남철</v>
      </c>
      <c r="K845" s="93" t="str">
        <f t="shared" si="55"/>
        <v>서진호</v>
      </c>
      <c r="L845" s="16" t="str">
        <f t="shared" si="56"/>
        <v>화</v>
      </c>
      <c r="M845" s="17" t="str">
        <f>IFERROR(VLOOKUP(B845,공휴일!B:C,2,0),"")</f>
        <v/>
      </c>
    </row>
    <row r="846" spans="2:13" x14ac:dyDescent="0.3">
      <c r="B846" s="142">
        <v>47065</v>
      </c>
      <c r="C846" s="143" t="s">
        <v>17</v>
      </c>
      <c r="D846" s="144"/>
      <c r="E846" s="143" t="s">
        <v>11</v>
      </c>
      <c r="F846" s="144"/>
      <c r="G846" s="147"/>
      <c r="H846" s="148" t="str">
        <f>IF(WORKDAY(B846-1,1,공휴일!$B$4:$B$24)=B846,IF(WORKDAY(B846,1,공휴일!$B$4:$B$24)&lt;&gt;B846+1,"금요일","평일"),IF(WORKDAY(B846,1,공휴일!$B$4:$B$24)&lt;&gt;B846+1,"토요일","일요일"))</f>
        <v>평일</v>
      </c>
      <c r="I846" s="125" t="str">
        <f t="shared" si="57"/>
        <v>2028-11</v>
      </c>
      <c r="J846" s="93" t="str">
        <f t="shared" si="54"/>
        <v>신혜원</v>
      </c>
      <c r="K846" s="93" t="str">
        <f t="shared" si="55"/>
        <v>장민우</v>
      </c>
      <c r="L846" s="16" t="str">
        <f t="shared" si="56"/>
        <v>수</v>
      </c>
      <c r="M846" s="17" t="str">
        <f>IFERROR(VLOOKUP(B846,공휴일!B:C,2,0),"")</f>
        <v/>
      </c>
    </row>
    <row r="847" spans="2:13" x14ac:dyDescent="0.3">
      <c r="B847" s="142">
        <v>47066</v>
      </c>
      <c r="C847" s="143" t="s">
        <v>40</v>
      </c>
      <c r="D847" s="144"/>
      <c r="E847" s="143" t="s">
        <v>19</v>
      </c>
      <c r="F847" s="144"/>
      <c r="G847" s="147"/>
      <c r="H847" s="148" t="str">
        <f>IF(WORKDAY(B847-1,1,공휴일!$B$4:$B$24)=B847,IF(WORKDAY(B847,1,공휴일!$B$4:$B$24)&lt;&gt;B847+1,"금요일","평일"),IF(WORKDAY(B847,1,공휴일!$B$4:$B$24)&lt;&gt;B847+1,"토요일","일요일"))</f>
        <v>평일</v>
      </c>
      <c r="I847" s="125" t="str">
        <f t="shared" si="57"/>
        <v>2028-11</v>
      </c>
      <c r="J847" s="93" t="str">
        <f t="shared" si="54"/>
        <v>여철호</v>
      </c>
      <c r="K847" s="93" t="str">
        <f t="shared" si="55"/>
        <v>우정수</v>
      </c>
      <c r="L847" s="16" t="str">
        <f t="shared" si="56"/>
        <v>목</v>
      </c>
      <c r="M847" s="17" t="str">
        <f>IFERROR(VLOOKUP(B847,공휴일!B:C,2,0),"")</f>
        <v/>
      </c>
    </row>
    <row r="848" spans="2:13" x14ac:dyDescent="0.3">
      <c r="B848" s="142">
        <v>47067</v>
      </c>
      <c r="C848" s="143" t="s">
        <v>15</v>
      </c>
      <c r="D848" s="144"/>
      <c r="E848" s="143" t="s">
        <v>44</v>
      </c>
      <c r="F848" s="144"/>
      <c r="G848" s="147"/>
      <c r="H848" s="148" t="str">
        <f>IF(WORKDAY(B848-1,1,공휴일!$B$4:$B$24)=B848,IF(WORKDAY(B848,1,공휴일!$B$4:$B$24)&lt;&gt;B848+1,"금요일","평일"),IF(WORKDAY(B848,1,공휴일!$B$4:$B$24)&lt;&gt;B848+1,"토요일","일요일"))</f>
        <v>금요일</v>
      </c>
      <c r="I848" s="125" t="str">
        <f t="shared" ref="I848:I859" si="58">TEXT(B848,"yyyy-mm")</f>
        <v>2028-11</v>
      </c>
      <c r="J848" s="93" t="str">
        <f t="shared" ref="J848:J859" si="59">IF(D848="",C848,D848)</f>
        <v>구민아</v>
      </c>
      <c r="K848" s="93" t="str">
        <f t="shared" ref="K848:K859" si="60">IF(F848="",E848,F848)</f>
        <v>오기희</v>
      </c>
      <c r="L848" s="16" t="str">
        <f t="shared" ref="L848:L859" si="61">TEXT(B848,"aaa")</f>
        <v>금</v>
      </c>
      <c r="M848" s="17" t="str">
        <f>IFERROR(VLOOKUP(B848,공휴일!B:C,2,0),"")</f>
        <v/>
      </c>
    </row>
    <row r="849" spans="2:13" x14ac:dyDescent="0.3">
      <c r="B849" s="142">
        <v>47068</v>
      </c>
      <c r="C849" s="143" t="s">
        <v>14</v>
      </c>
      <c r="D849" s="144"/>
      <c r="E849" s="143" t="s">
        <v>18</v>
      </c>
      <c r="F849" s="144"/>
      <c r="G849" s="147"/>
      <c r="H849" s="148" t="str">
        <f>IF(WORKDAY(B849-1,1,공휴일!$B$4:$B$24)=B849,IF(WORKDAY(B849,1,공휴일!$B$4:$B$24)&lt;&gt;B849+1,"금요일","평일"),IF(WORKDAY(B849,1,공휴일!$B$4:$B$24)&lt;&gt;B849+1,"토요일","일요일"))</f>
        <v>토요일</v>
      </c>
      <c r="I849" s="125" t="str">
        <f t="shared" si="58"/>
        <v>2028-11</v>
      </c>
      <c r="J849" s="93" t="str">
        <f t="shared" si="59"/>
        <v>고석규</v>
      </c>
      <c r="K849" s="93" t="str">
        <f t="shared" si="60"/>
        <v>이승현</v>
      </c>
      <c r="L849" s="16" t="str">
        <f t="shared" si="61"/>
        <v>토</v>
      </c>
      <c r="M849" s="17" t="str">
        <f>IFERROR(VLOOKUP(B849,공휴일!B:C,2,0),"")</f>
        <v/>
      </c>
    </row>
    <row r="850" spans="2:13" x14ac:dyDescent="0.3">
      <c r="B850" s="142">
        <v>47069</v>
      </c>
      <c r="C850" s="143" t="s">
        <v>12</v>
      </c>
      <c r="D850" s="144"/>
      <c r="E850" s="143" t="s">
        <v>10</v>
      </c>
      <c r="F850" s="144"/>
      <c r="G850" s="147"/>
      <c r="H850" s="148" t="str">
        <f>IF(WORKDAY(B850-1,1,공휴일!$B$4:$B$24)=B850,IF(WORKDAY(B850,1,공휴일!$B$4:$B$24)&lt;&gt;B850+1,"금요일","평일"),IF(WORKDAY(B850,1,공휴일!$B$4:$B$24)&lt;&gt;B850+1,"토요일","일요일"))</f>
        <v>일요일</v>
      </c>
      <c r="I850" s="125" t="str">
        <f t="shared" si="58"/>
        <v>2028-11</v>
      </c>
      <c r="J850" s="93" t="str">
        <f t="shared" si="59"/>
        <v>한문영</v>
      </c>
      <c r="K850" s="93" t="str">
        <f t="shared" si="60"/>
        <v>유진수</v>
      </c>
      <c r="L850" s="16" t="str">
        <f t="shared" si="61"/>
        <v>일</v>
      </c>
      <c r="M850" s="17" t="str">
        <f>IFERROR(VLOOKUP(B850,공휴일!B:C,2,0),"")</f>
        <v/>
      </c>
    </row>
    <row r="851" spans="2:13" x14ac:dyDescent="0.3">
      <c r="B851" s="142">
        <v>47070</v>
      </c>
      <c r="C851" s="143" t="s">
        <v>16</v>
      </c>
      <c r="D851" s="144"/>
      <c r="E851" s="143" t="s">
        <v>20</v>
      </c>
      <c r="F851" s="144"/>
      <c r="G851" s="147"/>
      <c r="H851" s="148" t="str">
        <f>IF(WORKDAY(B851-1,1,공휴일!$B$4:$B$24)=B851,IF(WORKDAY(B851,1,공휴일!$B$4:$B$24)&lt;&gt;B851+1,"금요일","평일"),IF(WORKDAY(B851,1,공휴일!$B$4:$B$24)&lt;&gt;B851+1,"토요일","일요일"))</f>
        <v>평일</v>
      </c>
      <c r="I851" s="125" t="str">
        <f t="shared" si="58"/>
        <v>2028-11</v>
      </c>
      <c r="J851" s="93" t="str">
        <f t="shared" si="59"/>
        <v>이현숙</v>
      </c>
      <c r="K851" s="93" t="str">
        <f t="shared" si="60"/>
        <v>이원철</v>
      </c>
      <c r="L851" s="16" t="str">
        <f t="shared" si="61"/>
        <v>월</v>
      </c>
      <c r="M851" s="17" t="str">
        <f>IFERROR(VLOOKUP(B851,공휴일!B:C,2,0),"")</f>
        <v/>
      </c>
    </row>
    <row r="852" spans="2:13" x14ac:dyDescent="0.3">
      <c r="B852" s="142">
        <v>47071</v>
      </c>
      <c r="C852" s="143" t="s">
        <v>13</v>
      </c>
      <c r="D852" s="144"/>
      <c r="E852" s="143" t="s">
        <v>21</v>
      </c>
      <c r="F852" s="144"/>
      <c r="G852" s="147"/>
      <c r="H852" s="148" t="str">
        <f>IF(WORKDAY(B852-1,1,공휴일!$B$4:$B$24)=B852,IF(WORKDAY(B852,1,공휴일!$B$4:$B$24)&lt;&gt;B852+1,"금요일","평일"),IF(WORKDAY(B852,1,공휴일!$B$4:$B$24)&lt;&gt;B852+1,"토요일","일요일"))</f>
        <v>평일</v>
      </c>
      <c r="I852" s="125" t="str">
        <f t="shared" si="58"/>
        <v>2028-11</v>
      </c>
      <c r="J852" s="93" t="str">
        <f t="shared" si="59"/>
        <v>안지영</v>
      </c>
      <c r="K852" s="93" t="str">
        <f t="shared" si="60"/>
        <v>정찬웅</v>
      </c>
      <c r="L852" s="16" t="str">
        <f t="shared" si="61"/>
        <v>화</v>
      </c>
      <c r="M852" s="17" t="str">
        <f>IFERROR(VLOOKUP(B852,공휴일!B:C,2,0),"")</f>
        <v/>
      </c>
    </row>
    <row r="853" spans="2:13" x14ac:dyDescent="0.3">
      <c r="B853" s="142">
        <v>47072</v>
      </c>
      <c r="C853" s="143" t="s">
        <v>41</v>
      </c>
      <c r="D853" s="144"/>
      <c r="E853" s="143" t="s">
        <v>22</v>
      </c>
      <c r="F853" s="144"/>
      <c r="G853" s="147"/>
      <c r="H853" s="148" t="str">
        <f>IF(WORKDAY(B853-1,1,공휴일!$B$4:$B$24)=B853,IF(WORKDAY(B853,1,공휴일!$B$4:$B$24)&lt;&gt;B853+1,"금요일","평일"),IF(WORKDAY(B853,1,공휴일!$B$4:$B$24)&lt;&gt;B853+1,"토요일","일요일"))</f>
        <v>평일</v>
      </c>
      <c r="I853" s="125" t="str">
        <f t="shared" si="58"/>
        <v>2028-11</v>
      </c>
      <c r="J853" s="93" t="str">
        <f t="shared" si="59"/>
        <v>송남철</v>
      </c>
      <c r="K853" s="93" t="str">
        <f t="shared" si="60"/>
        <v>서진호</v>
      </c>
      <c r="L853" s="16" t="str">
        <f t="shared" si="61"/>
        <v>수</v>
      </c>
      <c r="M853" s="17" t="str">
        <f>IFERROR(VLOOKUP(B853,공휴일!B:C,2,0),"")</f>
        <v/>
      </c>
    </row>
    <row r="854" spans="2:13" x14ac:dyDescent="0.3">
      <c r="B854" s="142">
        <v>47073</v>
      </c>
      <c r="C854" s="143" t="s">
        <v>17</v>
      </c>
      <c r="D854" s="144"/>
      <c r="E854" s="143" t="s">
        <v>11</v>
      </c>
      <c r="F854" s="144"/>
      <c r="G854" s="147"/>
      <c r="H854" s="148" t="str">
        <f>IF(WORKDAY(B854-1,1,공휴일!$B$4:$B$24)=B854,IF(WORKDAY(B854,1,공휴일!$B$4:$B$24)&lt;&gt;B854+1,"금요일","평일"),IF(WORKDAY(B854,1,공휴일!$B$4:$B$24)&lt;&gt;B854+1,"토요일","일요일"))</f>
        <v>평일</v>
      </c>
      <c r="I854" s="125" t="str">
        <f t="shared" si="58"/>
        <v>2028-11</v>
      </c>
      <c r="J854" s="93" t="str">
        <f t="shared" si="59"/>
        <v>신혜원</v>
      </c>
      <c r="K854" s="93" t="str">
        <f t="shared" si="60"/>
        <v>장민우</v>
      </c>
      <c r="L854" s="16" t="str">
        <f t="shared" si="61"/>
        <v>목</v>
      </c>
      <c r="M854" s="17" t="str">
        <f>IFERROR(VLOOKUP(B854,공휴일!B:C,2,0),"")</f>
        <v/>
      </c>
    </row>
    <row r="855" spans="2:13" x14ac:dyDescent="0.3">
      <c r="B855" s="142">
        <v>47074</v>
      </c>
      <c r="C855" s="143" t="s">
        <v>40</v>
      </c>
      <c r="D855" s="144"/>
      <c r="E855" s="143" t="s">
        <v>19</v>
      </c>
      <c r="F855" s="144"/>
      <c r="G855" s="147"/>
      <c r="H855" s="148" t="str">
        <f>IF(WORKDAY(B855-1,1,공휴일!$B$4:$B$24)=B855,IF(WORKDAY(B855,1,공휴일!$B$4:$B$24)&lt;&gt;B855+1,"금요일","평일"),IF(WORKDAY(B855,1,공휴일!$B$4:$B$24)&lt;&gt;B855+1,"토요일","일요일"))</f>
        <v>금요일</v>
      </c>
      <c r="I855" s="125" t="str">
        <f t="shared" si="58"/>
        <v>2028-11</v>
      </c>
      <c r="J855" s="93" t="str">
        <f t="shared" si="59"/>
        <v>여철호</v>
      </c>
      <c r="K855" s="93" t="str">
        <f t="shared" si="60"/>
        <v>우정수</v>
      </c>
      <c r="L855" s="16" t="str">
        <f t="shared" si="61"/>
        <v>금</v>
      </c>
      <c r="M855" s="17" t="str">
        <f>IFERROR(VLOOKUP(B855,공휴일!B:C,2,0),"")</f>
        <v/>
      </c>
    </row>
    <row r="856" spans="2:13" x14ac:dyDescent="0.3">
      <c r="B856" s="142">
        <v>47075</v>
      </c>
      <c r="C856" s="143" t="s">
        <v>15</v>
      </c>
      <c r="D856" s="144"/>
      <c r="E856" s="143" t="s">
        <v>44</v>
      </c>
      <c r="F856" s="144"/>
      <c r="G856" s="147"/>
      <c r="H856" s="148" t="str">
        <f>IF(WORKDAY(B856-1,1,공휴일!$B$4:$B$24)=B856,IF(WORKDAY(B856,1,공휴일!$B$4:$B$24)&lt;&gt;B856+1,"금요일","평일"),IF(WORKDAY(B856,1,공휴일!$B$4:$B$24)&lt;&gt;B856+1,"토요일","일요일"))</f>
        <v>토요일</v>
      </c>
      <c r="I856" s="125" t="str">
        <f t="shared" si="58"/>
        <v>2028-11</v>
      </c>
      <c r="J856" s="93" t="str">
        <f t="shared" si="59"/>
        <v>구민아</v>
      </c>
      <c r="K856" s="93" t="str">
        <f t="shared" si="60"/>
        <v>오기희</v>
      </c>
      <c r="L856" s="16" t="str">
        <f t="shared" si="61"/>
        <v>토</v>
      </c>
      <c r="M856" s="17" t="str">
        <f>IFERROR(VLOOKUP(B856,공휴일!B:C,2,0),"")</f>
        <v/>
      </c>
    </row>
    <row r="857" spans="2:13" x14ac:dyDescent="0.3">
      <c r="B857" s="142">
        <v>47076</v>
      </c>
      <c r="C857" s="143" t="s">
        <v>14</v>
      </c>
      <c r="D857" s="144"/>
      <c r="E857" s="143" t="s">
        <v>18</v>
      </c>
      <c r="F857" s="144"/>
      <c r="G857" s="147"/>
      <c r="H857" s="148" t="str">
        <f>IF(WORKDAY(B857-1,1,공휴일!$B$4:$B$24)=B857,IF(WORKDAY(B857,1,공휴일!$B$4:$B$24)&lt;&gt;B857+1,"금요일","평일"),IF(WORKDAY(B857,1,공휴일!$B$4:$B$24)&lt;&gt;B857+1,"토요일","일요일"))</f>
        <v>일요일</v>
      </c>
      <c r="I857" s="125" t="str">
        <f t="shared" si="58"/>
        <v>2028-11</v>
      </c>
      <c r="J857" s="93" t="str">
        <f t="shared" si="59"/>
        <v>고석규</v>
      </c>
      <c r="K857" s="93" t="str">
        <f t="shared" si="60"/>
        <v>이승현</v>
      </c>
      <c r="L857" s="16" t="str">
        <f t="shared" si="61"/>
        <v>일</v>
      </c>
      <c r="M857" s="17" t="str">
        <f>IFERROR(VLOOKUP(B857,공휴일!B:C,2,0),"")</f>
        <v/>
      </c>
    </row>
    <row r="858" spans="2:13" x14ac:dyDescent="0.3">
      <c r="B858" s="142">
        <v>47077</v>
      </c>
      <c r="C858" s="143" t="s">
        <v>12</v>
      </c>
      <c r="D858" s="144"/>
      <c r="E858" s="143" t="s">
        <v>10</v>
      </c>
      <c r="F858" s="144"/>
      <c r="G858" s="147"/>
      <c r="H858" s="148" t="str">
        <f>IF(WORKDAY(B858-1,1,공휴일!$B$4:$B$24)=B858,IF(WORKDAY(B858,1,공휴일!$B$4:$B$24)&lt;&gt;B858+1,"금요일","평일"),IF(WORKDAY(B858,1,공휴일!$B$4:$B$24)&lt;&gt;B858+1,"토요일","일요일"))</f>
        <v>평일</v>
      </c>
      <c r="I858" s="125" t="str">
        <f t="shared" si="58"/>
        <v>2028-11</v>
      </c>
      <c r="J858" s="93" t="str">
        <f t="shared" si="59"/>
        <v>한문영</v>
      </c>
      <c r="K858" s="93" t="str">
        <f t="shared" si="60"/>
        <v>유진수</v>
      </c>
      <c r="L858" s="16" t="str">
        <f t="shared" si="61"/>
        <v>월</v>
      </c>
      <c r="M858" s="17" t="str">
        <f>IFERROR(VLOOKUP(B858,공휴일!B:C,2,0),"")</f>
        <v/>
      </c>
    </row>
    <row r="859" spans="2:13" x14ac:dyDescent="0.3">
      <c r="B859" s="142">
        <v>47078</v>
      </c>
      <c r="C859" s="143" t="s">
        <v>16</v>
      </c>
      <c r="D859" s="144"/>
      <c r="E859" s="143" t="s">
        <v>20</v>
      </c>
      <c r="F859" s="144"/>
      <c r="G859" s="147"/>
      <c r="H859" s="148" t="str">
        <f>IF(WORKDAY(B859-1,1,공휴일!$B$4:$B$24)=B859,IF(WORKDAY(B859,1,공휴일!$B$4:$B$24)&lt;&gt;B859+1,"금요일","평일"),IF(WORKDAY(B859,1,공휴일!$B$4:$B$24)&lt;&gt;B859+1,"토요일","일요일"))</f>
        <v>평일</v>
      </c>
      <c r="I859" s="125" t="str">
        <f t="shared" si="58"/>
        <v>2028-11</v>
      </c>
      <c r="J859" s="93" t="str">
        <f t="shared" si="59"/>
        <v>이현숙</v>
      </c>
      <c r="K859" s="93" t="str">
        <f t="shared" si="60"/>
        <v>이원철</v>
      </c>
      <c r="L859" s="16" t="str">
        <f t="shared" si="61"/>
        <v>화</v>
      </c>
      <c r="M859" s="17" t="str">
        <f>IFERROR(VLOOKUP(B859,공휴일!B:C,2,0),"")</f>
        <v/>
      </c>
    </row>
    <row r="860" spans="2:13" x14ac:dyDescent="0.3">
      <c r="B860" s="142">
        <v>47079</v>
      </c>
      <c r="C860" s="143" t="s">
        <v>13</v>
      </c>
      <c r="D860" s="144"/>
      <c r="E860" s="143" t="s">
        <v>21</v>
      </c>
      <c r="F860" s="144"/>
      <c r="G860" s="147"/>
      <c r="H860" s="148" t="str">
        <f>IF(WORKDAY(B860-1,1,공휴일!$B$4:$B$24)=B860,IF(WORKDAY(B860,1,공휴일!$B$4:$B$24)&lt;&gt;B860+1,"금요일","평일"),IF(WORKDAY(B860,1,공휴일!$B$4:$B$24)&lt;&gt;B860+1,"토요일","일요일"))</f>
        <v>평일</v>
      </c>
      <c r="I860" s="125" t="str">
        <f t="shared" ref="I860:I880" si="62">TEXT(B860,"yyyy-mm")</f>
        <v>2028-11</v>
      </c>
      <c r="J860" s="93" t="str">
        <f t="shared" ref="J860:J880" si="63">IF(D860="",C860,D860)</f>
        <v>안지영</v>
      </c>
      <c r="K860" s="93" t="str">
        <f t="shared" ref="K860:K880" si="64">IF(F860="",E860,F860)</f>
        <v>정찬웅</v>
      </c>
      <c r="L860" s="16" t="str">
        <f t="shared" ref="L860:L880" si="65">TEXT(B860,"aaa")</f>
        <v>수</v>
      </c>
      <c r="M860" s="17" t="str">
        <f>IFERROR(VLOOKUP(B860,공휴일!B:C,2,0),"")</f>
        <v/>
      </c>
    </row>
    <row r="861" spans="2:13" x14ac:dyDescent="0.3">
      <c r="B861" s="142">
        <v>47080</v>
      </c>
      <c r="C861" s="143" t="s">
        <v>41</v>
      </c>
      <c r="D861" s="144"/>
      <c r="E861" s="143" t="s">
        <v>22</v>
      </c>
      <c r="F861" s="144"/>
      <c r="G861" s="147"/>
      <c r="H861" s="148" t="str">
        <f>IF(WORKDAY(B861-1,1,공휴일!$B$4:$B$24)=B861,IF(WORKDAY(B861,1,공휴일!$B$4:$B$24)&lt;&gt;B861+1,"금요일","평일"),IF(WORKDAY(B861,1,공휴일!$B$4:$B$24)&lt;&gt;B861+1,"토요일","일요일"))</f>
        <v>평일</v>
      </c>
      <c r="I861" s="125" t="str">
        <f t="shared" si="62"/>
        <v>2028-11</v>
      </c>
      <c r="J861" s="93" t="str">
        <f t="shared" si="63"/>
        <v>송남철</v>
      </c>
      <c r="K861" s="93" t="str">
        <f t="shared" si="64"/>
        <v>서진호</v>
      </c>
      <c r="L861" s="16" t="str">
        <f t="shared" si="65"/>
        <v>목</v>
      </c>
      <c r="M861" s="17" t="str">
        <f>IFERROR(VLOOKUP(B861,공휴일!B:C,2,0),"")</f>
        <v/>
      </c>
    </row>
    <row r="862" spans="2:13" x14ac:dyDescent="0.3">
      <c r="B862" s="142">
        <v>47081</v>
      </c>
      <c r="C862" s="143" t="s">
        <v>17</v>
      </c>
      <c r="D862" s="144"/>
      <c r="E862" s="143" t="s">
        <v>11</v>
      </c>
      <c r="F862" s="144"/>
      <c r="G862" s="147"/>
      <c r="H862" s="148" t="str">
        <f>IF(WORKDAY(B862-1,1,공휴일!$B$4:$B$24)=B862,IF(WORKDAY(B862,1,공휴일!$B$4:$B$24)&lt;&gt;B862+1,"금요일","평일"),IF(WORKDAY(B862,1,공휴일!$B$4:$B$24)&lt;&gt;B862+1,"토요일","일요일"))</f>
        <v>금요일</v>
      </c>
      <c r="I862" s="125" t="str">
        <f t="shared" si="62"/>
        <v>2028-11</v>
      </c>
      <c r="J862" s="93" t="str">
        <f t="shared" si="63"/>
        <v>신혜원</v>
      </c>
      <c r="K862" s="93" t="str">
        <f t="shared" si="64"/>
        <v>장민우</v>
      </c>
      <c r="L862" s="16" t="str">
        <f t="shared" si="65"/>
        <v>금</v>
      </c>
      <c r="M862" s="17" t="str">
        <f>IFERROR(VLOOKUP(B862,공휴일!B:C,2,0),"")</f>
        <v/>
      </c>
    </row>
    <row r="863" spans="2:13" x14ac:dyDescent="0.3">
      <c r="B863" s="142">
        <v>47082</v>
      </c>
      <c r="C863" s="143" t="s">
        <v>40</v>
      </c>
      <c r="D863" s="144"/>
      <c r="E863" s="143" t="s">
        <v>19</v>
      </c>
      <c r="F863" s="144"/>
      <c r="G863" s="147"/>
      <c r="H863" s="148" t="str">
        <f>IF(WORKDAY(B863-1,1,공휴일!$B$4:$B$24)=B863,IF(WORKDAY(B863,1,공휴일!$B$4:$B$24)&lt;&gt;B863+1,"금요일","평일"),IF(WORKDAY(B863,1,공휴일!$B$4:$B$24)&lt;&gt;B863+1,"토요일","일요일"))</f>
        <v>토요일</v>
      </c>
      <c r="I863" s="125" t="str">
        <f t="shared" si="62"/>
        <v>2028-11</v>
      </c>
      <c r="J863" s="93" t="str">
        <f t="shared" si="63"/>
        <v>여철호</v>
      </c>
      <c r="K863" s="93" t="str">
        <f t="shared" si="64"/>
        <v>우정수</v>
      </c>
      <c r="L863" s="16" t="str">
        <f t="shared" si="65"/>
        <v>토</v>
      </c>
      <c r="M863" s="17" t="str">
        <f>IFERROR(VLOOKUP(B863,공휴일!B:C,2,0),"")</f>
        <v/>
      </c>
    </row>
    <row r="864" spans="2:13" x14ac:dyDescent="0.3">
      <c r="B864" s="142">
        <v>47083</v>
      </c>
      <c r="C864" s="143" t="s">
        <v>15</v>
      </c>
      <c r="D864" s="144"/>
      <c r="E864" s="143" t="s">
        <v>44</v>
      </c>
      <c r="F864" s="144"/>
      <c r="G864" s="147"/>
      <c r="H864" s="148" t="str">
        <f>IF(WORKDAY(B864-1,1,공휴일!$B$4:$B$24)=B864,IF(WORKDAY(B864,1,공휴일!$B$4:$B$24)&lt;&gt;B864+1,"금요일","평일"),IF(WORKDAY(B864,1,공휴일!$B$4:$B$24)&lt;&gt;B864+1,"토요일","일요일"))</f>
        <v>일요일</v>
      </c>
      <c r="I864" s="125" t="str">
        <f t="shared" si="62"/>
        <v>2028-11</v>
      </c>
      <c r="J864" s="93" t="str">
        <f t="shared" si="63"/>
        <v>구민아</v>
      </c>
      <c r="K864" s="93" t="str">
        <f t="shared" si="64"/>
        <v>오기희</v>
      </c>
      <c r="L864" s="16" t="str">
        <f t="shared" si="65"/>
        <v>일</v>
      </c>
      <c r="M864" s="17" t="str">
        <f>IFERROR(VLOOKUP(B864,공휴일!B:C,2,0),"")</f>
        <v/>
      </c>
    </row>
    <row r="865" spans="2:13" x14ac:dyDescent="0.3">
      <c r="B865" s="142">
        <v>47084</v>
      </c>
      <c r="C865" s="143" t="s">
        <v>14</v>
      </c>
      <c r="D865" s="144"/>
      <c r="E865" s="143" t="s">
        <v>18</v>
      </c>
      <c r="F865" s="144"/>
      <c r="G865" s="147"/>
      <c r="H865" s="148" t="str">
        <f>IF(WORKDAY(B865-1,1,공휴일!$B$4:$B$24)=B865,IF(WORKDAY(B865,1,공휴일!$B$4:$B$24)&lt;&gt;B865+1,"금요일","평일"),IF(WORKDAY(B865,1,공휴일!$B$4:$B$24)&lt;&gt;B865+1,"토요일","일요일"))</f>
        <v>평일</v>
      </c>
      <c r="I865" s="125" t="str">
        <f t="shared" si="62"/>
        <v>2028-11</v>
      </c>
      <c r="J865" s="93" t="str">
        <f t="shared" si="63"/>
        <v>고석규</v>
      </c>
      <c r="K865" s="93" t="str">
        <f t="shared" si="64"/>
        <v>이승현</v>
      </c>
      <c r="L865" s="16" t="str">
        <f t="shared" si="65"/>
        <v>월</v>
      </c>
      <c r="M865" s="17" t="str">
        <f>IFERROR(VLOOKUP(B865,공휴일!B:C,2,0),"")</f>
        <v/>
      </c>
    </row>
    <row r="866" spans="2:13" x14ac:dyDescent="0.3">
      <c r="B866" s="142">
        <v>47085</v>
      </c>
      <c r="C866" s="143" t="s">
        <v>12</v>
      </c>
      <c r="D866" s="144"/>
      <c r="E866" s="143" t="s">
        <v>10</v>
      </c>
      <c r="F866" s="144"/>
      <c r="G866" s="147"/>
      <c r="H866" s="148" t="str">
        <f>IF(WORKDAY(B866-1,1,공휴일!$B$4:$B$24)=B866,IF(WORKDAY(B866,1,공휴일!$B$4:$B$24)&lt;&gt;B866+1,"금요일","평일"),IF(WORKDAY(B866,1,공휴일!$B$4:$B$24)&lt;&gt;B866+1,"토요일","일요일"))</f>
        <v>평일</v>
      </c>
      <c r="I866" s="125" t="str">
        <f t="shared" si="62"/>
        <v>2028-11</v>
      </c>
      <c r="J866" s="93" t="str">
        <f t="shared" si="63"/>
        <v>한문영</v>
      </c>
      <c r="K866" s="93" t="str">
        <f t="shared" si="64"/>
        <v>유진수</v>
      </c>
      <c r="L866" s="16" t="str">
        <f t="shared" si="65"/>
        <v>화</v>
      </c>
      <c r="M866" s="17" t="str">
        <f>IFERROR(VLOOKUP(B866,공휴일!B:C,2,0),"")</f>
        <v/>
      </c>
    </row>
    <row r="867" spans="2:13" x14ac:dyDescent="0.3">
      <c r="B867" s="142">
        <v>47086</v>
      </c>
      <c r="C867" s="143" t="s">
        <v>16</v>
      </c>
      <c r="D867" s="144"/>
      <c r="E867" s="143" t="s">
        <v>20</v>
      </c>
      <c r="F867" s="144"/>
      <c r="G867" s="147"/>
      <c r="H867" s="148" t="str">
        <f>IF(WORKDAY(B867-1,1,공휴일!$B$4:$B$24)=B867,IF(WORKDAY(B867,1,공휴일!$B$4:$B$24)&lt;&gt;B867+1,"금요일","평일"),IF(WORKDAY(B867,1,공휴일!$B$4:$B$24)&lt;&gt;B867+1,"토요일","일요일"))</f>
        <v>평일</v>
      </c>
      <c r="I867" s="125" t="str">
        <f t="shared" si="62"/>
        <v>2028-11</v>
      </c>
      <c r="J867" s="93" t="str">
        <f t="shared" si="63"/>
        <v>이현숙</v>
      </c>
      <c r="K867" s="93" t="str">
        <f t="shared" si="64"/>
        <v>이원철</v>
      </c>
      <c r="L867" s="16" t="str">
        <f t="shared" si="65"/>
        <v>수</v>
      </c>
      <c r="M867" s="17" t="str">
        <f>IFERROR(VLOOKUP(B867,공휴일!B:C,2,0),"")</f>
        <v/>
      </c>
    </row>
    <row r="868" spans="2:13" x14ac:dyDescent="0.3">
      <c r="B868" s="142">
        <v>47087</v>
      </c>
      <c r="C868" s="143" t="s">
        <v>13</v>
      </c>
      <c r="D868" s="144"/>
      <c r="E868" s="143" t="s">
        <v>21</v>
      </c>
      <c r="F868" s="144"/>
      <c r="G868" s="147"/>
      <c r="H868" s="148" t="str">
        <f>IF(WORKDAY(B868-1,1,공휴일!$B$4:$B$24)=B868,IF(WORKDAY(B868,1,공휴일!$B$4:$B$24)&lt;&gt;B868+1,"금요일","평일"),IF(WORKDAY(B868,1,공휴일!$B$4:$B$24)&lt;&gt;B868+1,"토요일","일요일"))</f>
        <v>평일</v>
      </c>
      <c r="I868" s="125" t="str">
        <f t="shared" si="62"/>
        <v>2028-11</v>
      </c>
      <c r="J868" s="93" t="str">
        <f t="shared" si="63"/>
        <v>안지영</v>
      </c>
      <c r="K868" s="93" t="str">
        <f t="shared" si="64"/>
        <v>정찬웅</v>
      </c>
      <c r="L868" s="16" t="str">
        <f t="shared" si="65"/>
        <v>목</v>
      </c>
      <c r="M868" s="17" t="str">
        <f>IFERROR(VLOOKUP(B868,공휴일!B:C,2,0),"")</f>
        <v/>
      </c>
    </row>
    <row r="869" spans="2:13" x14ac:dyDescent="0.3">
      <c r="B869" s="142">
        <v>47088</v>
      </c>
      <c r="C869" s="143" t="s">
        <v>41</v>
      </c>
      <c r="D869" s="144"/>
      <c r="E869" s="143" t="s">
        <v>22</v>
      </c>
      <c r="F869" s="144"/>
      <c r="G869" s="147"/>
      <c r="H869" s="148" t="str">
        <f>IF(WORKDAY(B869-1,1,공휴일!$B$4:$B$24)=B869,IF(WORKDAY(B869,1,공휴일!$B$4:$B$24)&lt;&gt;B869+1,"금요일","평일"),IF(WORKDAY(B869,1,공휴일!$B$4:$B$24)&lt;&gt;B869+1,"토요일","일요일"))</f>
        <v>금요일</v>
      </c>
      <c r="I869" s="125" t="str">
        <f t="shared" si="62"/>
        <v>2028-12</v>
      </c>
      <c r="J869" s="93" t="str">
        <f t="shared" si="63"/>
        <v>송남철</v>
      </c>
      <c r="K869" s="93" t="str">
        <f t="shared" si="64"/>
        <v>서진호</v>
      </c>
      <c r="L869" s="16" t="str">
        <f t="shared" si="65"/>
        <v>금</v>
      </c>
      <c r="M869" s="17" t="str">
        <f>IFERROR(VLOOKUP(B869,공휴일!B:C,2,0),"")</f>
        <v/>
      </c>
    </row>
    <row r="870" spans="2:13" x14ac:dyDescent="0.3">
      <c r="B870" s="142">
        <v>47089</v>
      </c>
      <c r="C870" s="143" t="s">
        <v>17</v>
      </c>
      <c r="D870" s="144"/>
      <c r="E870" s="143" t="s">
        <v>11</v>
      </c>
      <c r="F870" s="144"/>
      <c r="G870" s="147"/>
      <c r="H870" s="148" t="str">
        <f>IF(WORKDAY(B870-1,1,공휴일!$B$4:$B$24)=B870,IF(WORKDAY(B870,1,공휴일!$B$4:$B$24)&lt;&gt;B870+1,"금요일","평일"),IF(WORKDAY(B870,1,공휴일!$B$4:$B$24)&lt;&gt;B870+1,"토요일","일요일"))</f>
        <v>토요일</v>
      </c>
      <c r="I870" s="125" t="str">
        <f t="shared" si="62"/>
        <v>2028-12</v>
      </c>
      <c r="J870" s="93" t="str">
        <f t="shared" si="63"/>
        <v>신혜원</v>
      </c>
      <c r="K870" s="93" t="str">
        <f t="shared" si="64"/>
        <v>장민우</v>
      </c>
      <c r="L870" s="16" t="str">
        <f t="shared" si="65"/>
        <v>토</v>
      </c>
      <c r="M870" s="17" t="str">
        <f>IFERROR(VLOOKUP(B870,공휴일!B:C,2,0),"")</f>
        <v/>
      </c>
    </row>
    <row r="871" spans="2:13" x14ac:dyDescent="0.3">
      <c r="B871" s="142">
        <v>47090</v>
      </c>
      <c r="C871" s="143" t="s">
        <v>40</v>
      </c>
      <c r="D871" s="144"/>
      <c r="E871" s="143" t="s">
        <v>19</v>
      </c>
      <c r="F871" s="144"/>
      <c r="G871" s="147"/>
      <c r="H871" s="148" t="str">
        <f>IF(WORKDAY(B871-1,1,공휴일!$B$4:$B$24)=B871,IF(WORKDAY(B871,1,공휴일!$B$4:$B$24)&lt;&gt;B871+1,"금요일","평일"),IF(WORKDAY(B871,1,공휴일!$B$4:$B$24)&lt;&gt;B871+1,"토요일","일요일"))</f>
        <v>일요일</v>
      </c>
      <c r="I871" s="125" t="str">
        <f t="shared" si="62"/>
        <v>2028-12</v>
      </c>
      <c r="J871" s="93" t="str">
        <f t="shared" si="63"/>
        <v>여철호</v>
      </c>
      <c r="K871" s="93" t="str">
        <f t="shared" si="64"/>
        <v>우정수</v>
      </c>
      <c r="L871" s="16" t="str">
        <f t="shared" si="65"/>
        <v>일</v>
      </c>
      <c r="M871" s="17" t="str">
        <f>IFERROR(VLOOKUP(B871,공휴일!B:C,2,0),"")</f>
        <v/>
      </c>
    </row>
    <row r="872" spans="2:13" x14ac:dyDescent="0.3">
      <c r="B872" s="142">
        <v>47091</v>
      </c>
      <c r="C872" s="143" t="s">
        <v>15</v>
      </c>
      <c r="D872" s="144"/>
      <c r="E872" s="143" t="s">
        <v>44</v>
      </c>
      <c r="F872" s="144"/>
      <c r="G872" s="147"/>
      <c r="H872" s="148" t="str">
        <f>IF(WORKDAY(B872-1,1,공휴일!$B$4:$B$24)=B872,IF(WORKDAY(B872,1,공휴일!$B$4:$B$24)&lt;&gt;B872+1,"금요일","평일"),IF(WORKDAY(B872,1,공휴일!$B$4:$B$24)&lt;&gt;B872+1,"토요일","일요일"))</f>
        <v>평일</v>
      </c>
      <c r="I872" s="125" t="str">
        <f t="shared" si="62"/>
        <v>2028-12</v>
      </c>
      <c r="J872" s="93" t="str">
        <f t="shared" si="63"/>
        <v>구민아</v>
      </c>
      <c r="K872" s="93" t="str">
        <f t="shared" si="64"/>
        <v>오기희</v>
      </c>
      <c r="L872" s="16" t="str">
        <f t="shared" si="65"/>
        <v>월</v>
      </c>
      <c r="M872" s="17" t="str">
        <f>IFERROR(VLOOKUP(B872,공휴일!B:C,2,0),"")</f>
        <v/>
      </c>
    </row>
    <row r="873" spans="2:13" x14ac:dyDescent="0.3">
      <c r="B873" s="142">
        <v>47092</v>
      </c>
      <c r="C873" s="143" t="s">
        <v>14</v>
      </c>
      <c r="D873" s="144"/>
      <c r="E873" s="143" t="s">
        <v>18</v>
      </c>
      <c r="F873" s="144"/>
      <c r="G873" s="147"/>
      <c r="H873" s="148" t="str">
        <f>IF(WORKDAY(B873-1,1,공휴일!$B$4:$B$24)=B873,IF(WORKDAY(B873,1,공휴일!$B$4:$B$24)&lt;&gt;B873+1,"금요일","평일"),IF(WORKDAY(B873,1,공휴일!$B$4:$B$24)&lt;&gt;B873+1,"토요일","일요일"))</f>
        <v>평일</v>
      </c>
      <c r="I873" s="125" t="str">
        <f t="shared" si="62"/>
        <v>2028-12</v>
      </c>
      <c r="J873" s="93" t="str">
        <f t="shared" si="63"/>
        <v>고석규</v>
      </c>
      <c r="K873" s="93" t="str">
        <f t="shared" si="64"/>
        <v>이승현</v>
      </c>
      <c r="L873" s="16" t="str">
        <f t="shared" si="65"/>
        <v>화</v>
      </c>
      <c r="M873" s="17" t="str">
        <f>IFERROR(VLOOKUP(B873,공휴일!B:C,2,0),"")</f>
        <v/>
      </c>
    </row>
    <row r="874" spans="2:13" x14ac:dyDescent="0.3">
      <c r="B874" s="142">
        <v>47093</v>
      </c>
      <c r="C874" s="143" t="s">
        <v>12</v>
      </c>
      <c r="D874" s="144"/>
      <c r="E874" s="143" t="s">
        <v>10</v>
      </c>
      <c r="F874" s="144"/>
      <c r="G874" s="147"/>
      <c r="H874" s="148" t="str">
        <f>IF(WORKDAY(B874-1,1,공휴일!$B$4:$B$24)=B874,IF(WORKDAY(B874,1,공휴일!$B$4:$B$24)&lt;&gt;B874+1,"금요일","평일"),IF(WORKDAY(B874,1,공휴일!$B$4:$B$24)&lt;&gt;B874+1,"토요일","일요일"))</f>
        <v>평일</v>
      </c>
      <c r="I874" s="125" t="str">
        <f t="shared" si="62"/>
        <v>2028-12</v>
      </c>
      <c r="J874" s="93" t="str">
        <f t="shared" si="63"/>
        <v>한문영</v>
      </c>
      <c r="K874" s="93" t="str">
        <f t="shared" si="64"/>
        <v>유진수</v>
      </c>
      <c r="L874" s="16" t="str">
        <f t="shared" si="65"/>
        <v>수</v>
      </c>
      <c r="M874" s="17" t="str">
        <f>IFERROR(VLOOKUP(B874,공휴일!B:C,2,0),"")</f>
        <v/>
      </c>
    </row>
    <row r="875" spans="2:13" x14ac:dyDescent="0.3">
      <c r="B875" s="142">
        <v>47094</v>
      </c>
      <c r="C875" s="143" t="s">
        <v>16</v>
      </c>
      <c r="D875" s="144"/>
      <c r="E875" s="143" t="s">
        <v>20</v>
      </c>
      <c r="F875" s="144"/>
      <c r="G875" s="147"/>
      <c r="H875" s="148" t="str">
        <f>IF(WORKDAY(B875-1,1,공휴일!$B$4:$B$24)=B875,IF(WORKDAY(B875,1,공휴일!$B$4:$B$24)&lt;&gt;B875+1,"금요일","평일"),IF(WORKDAY(B875,1,공휴일!$B$4:$B$24)&lt;&gt;B875+1,"토요일","일요일"))</f>
        <v>평일</v>
      </c>
      <c r="I875" s="125" t="str">
        <f t="shared" si="62"/>
        <v>2028-12</v>
      </c>
      <c r="J875" s="93" t="str">
        <f t="shared" si="63"/>
        <v>이현숙</v>
      </c>
      <c r="K875" s="93" t="str">
        <f t="shared" si="64"/>
        <v>이원철</v>
      </c>
      <c r="L875" s="16" t="str">
        <f t="shared" si="65"/>
        <v>목</v>
      </c>
      <c r="M875" s="17" t="str">
        <f>IFERROR(VLOOKUP(B875,공휴일!B:C,2,0),"")</f>
        <v/>
      </c>
    </row>
    <row r="876" spans="2:13" x14ac:dyDescent="0.3">
      <c r="B876" s="142">
        <v>47095</v>
      </c>
      <c r="C876" s="143" t="s">
        <v>13</v>
      </c>
      <c r="D876" s="144"/>
      <c r="E876" s="143" t="s">
        <v>21</v>
      </c>
      <c r="F876" s="144"/>
      <c r="G876" s="147"/>
      <c r="H876" s="148" t="str">
        <f>IF(WORKDAY(B876-1,1,공휴일!$B$4:$B$24)=B876,IF(WORKDAY(B876,1,공휴일!$B$4:$B$24)&lt;&gt;B876+1,"금요일","평일"),IF(WORKDAY(B876,1,공휴일!$B$4:$B$24)&lt;&gt;B876+1,"토요일","일요일"))</f>
        <v>금요일</v>
      </c>
      <c r="I876" s="125" t="str">
        <f t="shared" si="62"/>
        <v>2028-12</v>
      </c>
      <c r="J876" s="93" t="str">
        <f t="shared" si="63"/>
        <v>안지영</v>
      </c>
      <c r="K876" s="93" t="str">
        <f t="shared" si="64"/>
        <v>정찬웅</v>
      </c>
      <c r="L876" s="16" t="str">
        <f t="shared" si="65"/>
        <v>금</v>
      </c>
      <c r="M876" s="17" t="str">
        <f>IFERROR(VLOOKUP(B876,공휴일!B:C,2,0),"")</f>
        <v/>
      </c>
    </row>
    <row r="877" spans="2:13" x14ac:dyDescent="0.3">
      <c r="B877" s="142">
        <v>47096</v>
      </c>
      <c r="C877" s="143" t="s">
        <v>41</v>
      </c>
      <c r="D877" s="144"/>
      <c r="E877" s="143" t="s">
        <v>22</v>
      </c>
      <c r="F877" s="144"/>
      <c r="G877" s="147"/>
      <c r="H877" s="148" t="str">
        <f>IF(WORKDAY(B877-1,1,공휴일!$B$4:$B$24)=B877,IF(WORKDAY(B877,1,공휴일!$B$4:$B$24)&lt;&gt;B877+1,"금요일","평일"),IF(WORKDAY(B877,1,공휴일!$B$4:$B$24)&lt;&gt;B877+1,"토요일","일요일"))</f>
        <v>토요일</v>
      </c>
      <c r="I877" s="125" t="str">
        <f t="shared" si="62"/>
        <v>2028-12</v>
      </c>
      <c r="J877" s="93" t="str">
        <f t="shared" si="63"/>
        <v>송남철</v>
      </c>
      <c r="K877" s="93" t="str">
        <f t="shared" si="64"/>
        <v>서진호</v>
      </c>
      <c r="L877" s="16" t="str">
        <f t="shared" si="65"/>
        <v>토</v>
      </c>
      <c r="M877" s="17" t="str">
        <f>IFERROR(VLOOKUP(B877,공휴일!B:C,2,0),"")</f>
        <v/>
      </c>
    </row>
    <row r="878" spans="2:13" x14ac:dyDescent="0.3">
      <c r="B878" s="142">
        <v>47097</v>
      </c>
      <c r="C878" s="143" t="s">
        <v>17</v>
      </c>
      <c r="D878" s="144"/>
      <c r="E878" s="143" t="s">
        <v>11</v>
      </c>
      <c r="F878" s="144"/>
      <c r="G878" s="147"/>
      <c r="H878" s="148" t="str">
        <f>IF(WORKDAY(B878-1,1,공휴일!$B$4:$B$24)=B878,IF(WORKDAY(B878,1,공휴일!$B$4:$B$24)&lt;&gt;B878+1,"금요일","평일"),IF(WORKDAY(B878,1,공휴일!$B$4:$B$24)&lt;&gt;B878+1,"토요일","일요일"))</f>
        <v>일요일</v>
      </c>
      <c r="I878" s="125" t="str">
        <f t="shared" si="62"/>
        <v>2028-12</v>
      </c>
      <c r="J878" s="93" t="str">
        <f t="shared" si="63"/>
        <v>신혜원</v>
      </c>
      <c r="K878" s="93" t="str">
        <f t="shared" si="64"/>
        <v>장민우</v>
      </c>
      <c r="L878" s="16" t="str">
        <f t="shared" si="65"/>
        <v>일</v>
      </c>
      <c r="M878" s="17" t="str">
        <f>IFERROR(VLOOKUP(B878,공휴일!B:C,2,0),"")</f>
        <v/>
      </c>
    </row>
    <row r="879" spans="2:13" x14ac:dyDescent="0.3">
      <c r="B879" s="142">
        <v>47098</v>
      </c>
      <c r="C879" s="143" t="s">
        <v>40</v>
      </c>
      <c r="D879" s="144"/>
      <c r="E879" s="143" t="s">
        <v>19</v>
      </c>
      <c r="F879" s="144"/>
      <c r="G879" s="147"/>
      <c r="H879" s="148" t="str">
        <f>IF(WORKDAY(B879-1,1,공휴일!$B$4:$B$24)=B879,IF(WORKDAY(B879,1,공휴일!$B$4:$B$24)&lt;&gt;B879+1,"금요일","평일"),IF(WORKDAY(B879,1,공휴일!$B$4:$B$24)&lt;&gt;B879+1,"토요일","일요일"))</f>
        <v>평일</v>
      </c>
      <c r="I879" s="125" t="str">
        <f t="shared" si="62"/>
        <v>2028-12</v>
      </c>
      <c r="J879" s="93" t="str">
        <f t="shared" si="63"/>
        <v>여철호</v>
      </c>
      <c r="K879" s="93" t="str">
        <f t="shared" si="64"/>
        <v>우정수</v>
      </c>
      <c r="L879" s="16" t="str">
        <f t="shared" si="65"/>
        <v>월</v>
      </c>
      <c r="M879" s="17" t="str">
        <f>IFERROR(VLOOKUP(B879,공휴일!B:C,2,0),"")</f>
        <v/>
      </c>
    </row>
    <row r="880" spans="2:13" x14ac:dyDescent="0.3">
      <c r="B880" s="142">
        <v>47099</v>
      </c>
      <c r="C880" s="143" t="s">
        <v>15</v>
      </c>
      <c r="D880" s="144"/>
      <c r="E880" s="143" t="s">
        <v>44</v>
      </c>
      <c r="F880" s="144"/>
      <c r="G880" s="147"/>
      <c r="H880" s="148" t="str">
        <f>IF(WORKDAY(B880-1,1,공휴일!$B$4:$B$24)=B880,IF(WORKDAY(B880,1,공휴일!$B$4:$B$24)&lt;&gt;B880+1,"금요일","평일"),IF(WORKDAY(B880,1,공휴일!$B$4:$B$24)&lt;&gt;B880+1,"토요일","일요일"))</f>
        <v>평일</v>
      </c>
      <c r="I880" s="125" t="str">
        <f t="shared" si="62"/>
        <v>2028-12</v>
      </c>
      <c r="J880" s="93" t="str">
        <f t="shared" si="63"/>
        <v>구민아</v>
      </c>
      <c r="K880" s="93" t="str">
        <f t="shared" si="64"/>
        <v>오기희</v>
      </c>
      <c r="L880" s="16" t="str">
        <f t="shared" si="65"/>
        <v>화</v>
      </c>
      <c r="M880" s="17" t="str">
        <f>IFERROR(VLOOKUP(B880,공휴일!B:C,2,0),"")</f>
        <v/>
      </c>
    </row>
    <row r="881" spans="2:13" x14ac:dyDescent="0.3">
      <c r="B881" s="142">
        <v>47100</v>
      </c>
      <c r="C881" s="143" t="s">
        <v>14</v>
      </c>
      <c r="D881" s="144"/>
      <c r="E881" s="143" t="s">
        <v>18</v>
      </c>
      <c r="F881" s="144"/>
      <c r="G881" s="147"/>
      <c r="H881" s="148" t="str">
        <f>IF(WORKDAY(B881-1,1,공휴일!$B$4:$B$24)=B881,IF(WORKDAY(B881,1,공휴일!$B$4:$B$24)&lt;&gt;B881+1,"금요일","평일"),IF(WORKDAY(B881,1,공휴일!$B$4:$B$24)&lt;&gt;B881+1,"토요일","일요일"))</f>
        <v>평일</v>
      </c>
      <c r="I881" s="125" t="str">
        <f t="shared" ref="I881:I899" si="66">TEXT(B881,"yyyy-mm")</f>
        <v>2028-12</v>
      </c>
      <c r="J881" s="93" t="str">
        <f t="shared" ref="J881:J899" si="67">IF(D881="",C881,D881)</f>
        <v>고석규</v>
      </c>
      <c r="K881" s="93" t="str">
        <f t="shared" ref="K881:K899" si="68">IF(F881="",E881,F881)</f>
        <v>이승현</v>
      </c>
      <c r="L881" s="16" t="str">
        <f t="shared" ref="L881:L899" si="69">TEXT(B881,"aaa")</f>
        <v>수</v>
      </c>
      <c r="M881" s="17" t="str">
        <f>IFERROR(VLOOKUP(B881,공휴일!B:C,2,0),"")</f>
        <v/>
      </c>
    </row>
    <row r="882" spans="2:13" x14ac:dyDescent="0.3">
      <c r="B882" s="142">
        <v>47101</v>
      </c>
      <c r="C882" s="143" t="s">
        <v>12</v>
      </c>
      <c r="D882" s="144"/>
      <c r="E882" s="143" t="s">
        <v>10</v>
      </c>
      <c r="F882" s="144"/>
      <c r="G882" s="147"/>
      <c r="H882" s="148" t="str">
        <f>IF(WORKDAY(B882-1,1,공휴일!$B$4:$B$24)=B882,IF(WORKDAY(B882,1,공휴일!$B$4:$B$24)&lt;&gt;B882+1,"금요일","평일"),IF(WORKDAY(B882,1,공휴일!$B$4:$B$24)&lt;&gt;B882+1,"토요일","일요일"))</f>
        <v>평일</v>
      </c>
      <c r="I882" s="125" t="str">
        <f t="shared" si="66"/>
        <v>2028-12</v>
      </c>
      <c r="J882" s="93" t="str">
        <f t="shared" si="67"/>
        <v>한문영</v>
      </c>
      <c r="K882" s="93" t="str">
        <f t="shared" si="68"/>
        <v>유진수</v>
      </c>
      <c r="L882" s="16" t="str">
        <f t="shared" si="69"/>
        <v>목</v>
      </c>
      <c r="M882" s="17" t="str">
        <f>IFERROR(VLOOKUP(B882,공휴일!B:C,2,0),"")</f>
        <v/>
      </c>
    </row>
    <row r="883" spans="2:13" x14ac:dyDescent="0.3">
      <c r="B883" s="142">
        <v>47102</v>
      </c>
      <c r="C883" s="143" t="s">
        <v>16</v>
      </c>
      <c r="D883" s="144"/>
      <c r="E883" s="143" t="s">
        <v>20</v>
      </c>
      <c r="F883" s="144"/>
      <c r="G883" s="147"/>
      <c r="H883" s="148" t="str">
        <f>IF(WORKDAY(B883-1,1,공휴일!$B$4:$B$24)=B883,IF(WORKDAY(B883,1,공휴일!$B$4:$B$24)&lt;&gt;B883+1,"금요일","평일"),IF(WORKDAY(B883,1,공휴일!$B$4:$B$24)&lt;&gt;B883+1,"토요일","일요일"))</f>
        <v>금요일</v>
      </c>
      <c r="I883" s="125" t="str">
        <f t="shared" si="66"/>
        <v>2028-12</v>
      </c>
      <c r="J883" s="93" t="str">
        <f t="shared" si="67"/>
        <v>이현숙</v>
      </c>
      <c r="K883" s="93" t="str">
        <f t="shared" si="68"/>
        <v>이원철</v>
      </c>
      <c r="L883" s="16" t="str">
        <f t="shared" si="69"/>
        <v>금</v>
      </c>
      <c r="M883" s="17" t="str">
        <f>IFERROR(VLOOKUP(B883,공휴일!B:C,2,0),"")</f>
        <v/>
      </c>
    </row>
    <row r="884" spans="2:13" x14ac:dyDescent="0.3">
      <c r="B884" s="142">
        <v>47103</v>
      </c>
      <c r="C884" s="143" t="s">
        <v>13</v>
      </c>
      <c r="D884" s="144"/>
      <c r="E884" s="143" t="s">
        <v>21</v>
      </c>
      <c r="F884" s="144"/>
      <c r="G884" s="147"/>
      <c r="H884" s="148" t="str">
        <f>IF(WORKDAY(B884-1,1,공휴일!$B$4:$B$24)=B884,IF(WORKDAY(B884,1,공휴일!$B$4:$B$24)&lt;&gt;B884+1,"금요일","평일"),IF(WORKDAY(B884,1,공휴일!$B$4:$B$24)&lt;&gt;B884+1,"토요일","일요일"))</f>
        <v>토요일</v>
      </c>
      <c r="I884" s="125" t="str">
        <f t="shared" si="66"/>
        <v>2028-12</v>
      </c>
      <c r="J884" s="93" t="str">
        <f t="shared" si="67"/>
        <v>안지영</v>
      </c>
      <c r="K884" s="93" t="str">
        <f t="shared" si="68"/>
        <v>정찬웅</v>
      </c>
      <c r="L884" s="16" t="str">
        <f t="shared" si="69"/>
        <v>토</v>
      </c>
      <c r="M884" s="17" t="str">
        <f>IFERROR(VLOOKUP(B884,공휴일!B:C,2,0),"")</f>
        <v/>
      </c>
    </row>
    <row r="885" spans="2:13" x14ac:dyDescent="0.3">
      <c r="B885" s="142">
        <v>47104</v>
      </c>
      <c r="C885" s="143" t="s">
        <v>41</v>
      </c>
      <c r="D885" s="144"/>
      <c r="E885" s="143" t="s">
        <v>22</v>
      </c>
      <c r="F885" s="144"/>
      <c r="G885" s="147"/>
      <c r="H885" s="148" t="str">
        <f>IF(WORKDAY(B885-1,1,공휴일!$B$4:$B$24)=B885,IF(WORKDAY(B885,1,공휴일!$B$4:$B$24)&lt;&gt;B885+1,"금요일","평일"),IF(WORKDAY(B885,1,공휴일!$B$4:$B$24)&lt;&gt;B885+1,"토요일","일요일"))</f>
        <v>일요일</v>
      </c>
      <c r="I885" s="125" t="str">
        <f t="shared" si="66"/>
        <v>2028-12</v>
      </c>
      <c r="J885" s="93" t="str">
        <f t="shared" si="67"/>
        <v>송남철</v>
      </c>
      <c r="K885" s="93" t="str">
        <f t="shared" si="68"/>
        <v>서진호</v>
      </c>
      <c r="L885" s="16" t="str">
        <f t="shared" si="69"/>
        <v>일</v>
      </c>
      <c r="M885" s="17" t="str">
        <f>IFERROR(VLOOKUP(B885,공휴일!B:C,2,0),"")</f>
        <v/>
      </c>
    </row>
    <row r="886" spans="2:13" x14ac:dyDescent="0.3">
      <c r="B886" s="142">
        <v>47105</v>
      </c>
      <c r="C886" s="143" t="s">
        <v>17</v>
      </c>
      <c r="D886" s="144"/>
      <c r="E886" s="143" t="s">
        <v>11</v>
      </c>
      <c r="F886" s="144"/>
      <c r="G886" s="147"/>
      <c r="H886" s="148" t="str">
        <f>IF(WORKDAY(B886-1,1,공휴일!$B$4:$B$24)=B886,IF(WORKDAY(B886,1,공휴일!$B$4:$B$24)&lt;&gt;B886+1,"금요일","평일"),IF(WORKDAY(B886,1,공휴일!$B$4:$B$24)&lt;&gt;B886+1,"토요일","일요일"))</f>
        <v>평일</v>
      </c>
      <c r="I886" s="125" t="str">
        <f t="shared" si="66"/>
        <v>2028-12</v>
      </c>
      <c r="J886" s="93" t="str">
        <f t="shared" si="67"/>
        <v>신혜원</v>
      </c>
      <c r="K886" s="93" t="str">
        <f t="shared" si="68"/>
        <v>장민우</v>
      </c>
      <c r="L886" s="16" t="str">
        <f t="shared" si="69"/>
        <v>월</v>
      </c>
      <c r="M886" s="17" t="str">
        <f>IFERROR(VLOOKUP(B886,공휴일!B:C,2,0),"")</f>
        <v/>
      </c>
    </row>
    <row r="887" spans="2:13" x14ac:dyDescent="0.3">
      <c r="B887" s="142">
        <v>47106</v>
      </c>
      <c r="C887" s="143" t="s">
        <v>40</v>
      </c>
      <c r="D887" s="144"/>
      <c r="E887" s="143" t="s">
        <v>19</v>
      </c>
      <c r="F887" s="144"/>
      <c r="G887" s="147"/>
      <c r="H887" s="148" t="str">
        <f>IF(WORKDAY(B887-1,1,공휴일!$B$4:$B$24)=B887,IF(WORKDAY(B887,1,공휴일!$B$4:$B$24)&lt;&gt;B887+1,"금요일","평일"),IF(WORKDAY(B887,1,공휴일!$B$4:$B$24)&lt;&gt;B887+1,"토요일","일요일"))</f>
        <v>평일</v>
      </c>
      <c r="I887" s="125" t="str">
        <f t="shared" si="66"/>
        <v>2028-12</v>
      </c>
      <c r="J887" s="93" t="str">
        <f t="shared" si="67"/>
        <v>여철호</v>
      </c>
      <c r="K887" s="93" t="str">
        <f t="shared" si="68"/>
        <v>우정수</v>
      </c>
      <c r="L887" s="16" t="str">
        <f t="shared" si="69"/>
        <v>화</v>
      </c>
      <c r="M887" s="17" t="str">
        <f>IFERROR(VLOOKUP(B887,공휴일!B:C,2,0),"")</f>
        <v/>
      </c>
    </row>
    <row r="888" spans="2:13" x14ac:dyDescent="0.3">
      <c r="B888" s="142">
        <v>47107</v>
      </c>
      <c r="C888" s="143" t="s">
        <v>15</v>
      </c>
      <c r="D888" s="144"/>
      <c r="E888" s="143" t="s">
        <v>44</v>
      </c>
      <c r="F888" s="144"/>
      <c r="G888" s="147"/>
      <c r="H888" s="148" t="str">
        <f>IF(WORKDAY(B888-1,1,공휴일!$B$4:$B$24)=B888,IF(WORKDAY(B888,1,공휴일!$B$4:$B$24)&lt;&gt;B888+1,"금요일","평일"),IF(WORKDAY(B888,1,공휴일!$B$4:$B$24)&lt;&gt;B888+1,"토요일","일요일"))</f>
        <v>평일</v>
      </c>
      <c r="I888" s="125" t="str">
        <f t="shared" si="66"/>
        <v>2028-12</v>
      </c>
      <c r="J888" s="93" t="str">
        <f t="shared" si="67"/>
        <v>구민아</v>
      </c>
      <c r="K888" s="93" t="str">
        <f t="shared" si="68"/>
        <v>오기희</v>
      </c>
      <c r="L888" s="16" t="str">
        <f t="shared" si="69"/>
        <v>수</v>
      </c>
      <c r="M888" s="17" t="str">
        <f>IFERROR(VLOOKUP(B888,공휴일!B:C,2,0),"")</f>
        <v/>
      </c>
    </row>
    <row r="889" spans="2:13" x14ac:dyDescent="0.3">
      <c r="B889" s="142">
        <v>47108</v>
      </c>
      <c r="C889" s="143" t="s">
        <v>14</v>
      </c>
      <c r="D889" s="144"/>
      <c r="E889" s="143" t="s">
        <v>18</v>
      </c>
      <c r="F889" s="144"/>
      <c r="G889" s="147"/>
      <c r="H889" s="148" t="str">
        <f>IF(WORKDAY(B889-1,1,공휴일!$B$4:$B$24)=B889,IF(WORKDAY(B889,1,공휴일!$B$4:$B$24)&lt;&gt;B889+1,"금요일","평일"),IF(WORKDAY(B889,1,공휴일!$B$4:$B$24)&lt;&gt;B889+1,"토요일","일요일"))</f>
        <v>평일</v>
      </c>
      <c r="I889" s="125" t="str">
        <f t="shared" si="66"/>
        <v>2028-12</v>
      </c>
      <c r="J889" s="93" t="str">
        <f t="shared" si="67"/>
        <v>고석규</v>
      </c>
      <c r="K889" s="93" t="str">
        <f t="shared" si="68"/>
        <v>이승현</v>
      </c>
      <c r="L889" s="16" t="str">
        <f t="shared" si="69"/>
        <v>목</v>
      </c>
      <c r="M889" s="17" t="str">
        <f>IFERROR(VLOOKUP(B889,공휴일!B:C,2,0),"")</f>
        <v/>
      </c>
    </row>
    <row r="890" spans="2:13" x14ac:dyDescent="0.3">
      <c r="B890" s="142">
        <v>47109</v>
      </c>
      <c r="C890" s="143" t="s">
        <v>12</v>
      </c>
      <c r="D890" s="144"/>
      <c r="E890" s="143" t="s">
        <v>10</v>
      </c>
      <c r="F890" s="144"/>
      <c r="G890" s="147"/>
      <c r="H890" s="148" t="str">
        <f>IF(WORKDAY(B890-1,1,공휴일!$B$4:$B$24)=B890,IF(WORKDAY(B890,1,공휴일!$B$4:$B$24)&lt;&gt;B890+1,"금요일","평일"),IF(WORKDAY(B890,1,공휴일!$B$4:$B$24)&lt;&gt;B890+1,"토요일","일요일"))</f>
        <v>금요일</v>
      </c>
      <c r="I890" s="125" t="str">
        <f t="shared" si="66"/>
        <v>2028-12</v>
      </c>
      <c r="J890" s="93" t="str">
        <f t="shared" si="67"/>
        <v>한문영</v>
      </c>
      <c r="K890" s="93" t="str">
        <f t="shared" si="68"/>
        <v>유진수</v>
      </c>
      <c r="L890" s="16" t="str">
        <f t="shared" si="69"/>
        <v>금</v>
      </c>
      <c r="M890" s="17" t="str">
        <f>IFERROR(VLOOKUP(B890,공휴일!B:C,2,0),"")</f>
        <v/>
      </c>
    </row>
    <row r="891" spans="2:13" x14ac:dyDescent="0.3">
      <c r="B891" s="142">
        <v>47110</v>
      </c>
      <c r="C891" s="143" t="s">
        <v>16</v>
      </c>
      <c r="D891" s="144"/>
      <c r="E891" s="143" t="s">
        <v>20</v>
      </c>
      <c r="F891" s="144"/>
      <c r="G891" s="147"/>
      <c r="H891" s="148" t="str">
        <f>IF(WORKDAY(B891-1,1,공휴일!$B$4:$B$24)=B891,IF(WORKDAY(B891,1,공휴일!$B$4:$B$24)&lt;&gt;B891+1,"금요일","평일"),IF(WORKDAY(B891,1,공휴일!$B$4:$B$24)&lt;&gt;B891+1,"토요일","일요일"))</f>
        <v>토요일</v>
      </c>
      <c r="I891" s="125" t="str">
        <f t="shared" si="66"/>
        <v>2028-12</v>
      </c>
      <c r="J891" s="93" t="str">
        <f t="shared" si="67"/>
        <v>이현숙</v>
      </c>
      <c r="K891" s="93" t="str">
        <f t="shared" si="68"/>
        <v>이원철</v>
      </c>
      <c r="L891" s="16" t="str">
        <f t="shared" si="69"/>
        <v>토</v>
      </c>
      <c r="M891" s="17" t="str">
        <f>IFERROR(VLOOKUP(B891,공휴일!B:C,2,0),"")</f>
        <v/>
      </c>
    </row>
    <row r="892" spans="2:13" x14ac:dyDescent="0.3">
      <c r="B892" s="142">
        <v>47111</v>
      </c>
      <c r="C892" s="143" t="s">
        <v>13</v>
      </c>
      <c r="D892" s="144"/>
      <c r="E892" s="143" t="s">
        <v>21</v>
      </c>
      <c r="F892" s="144"/>
      <c r="G892" s="147"/>
      <c r="H892" s="148" t="str">
        <f>IF(WORKDAY(B892-1,1,공휴일!$B$4:$B$24)=B892,IF(WORKDAY(B892,1,공휴일!$B$4:$B$24)&lt;&gt;B892+1,"금요일","평일"),IF(WORKDAY(B892,1,공휴일!$B$4:$B$24)&lt;&gt;B892+1,"토요일","일요일"))</f>
        <v>일요일</v>
      </c>
      <c r="I892" s="125" t="str">
        <f t="shared" si="66"/>
        <v>2028-12</v>
      </c>
      <c r="J892" s="93" t="str">
        <f t="shared" si="67"/>
        <v>안지영</v>
      </c>
      <c r="K892" s="93" t="str">
        <f t="shared" si="68"/>
        <v>정찬웅</v>
      </c>
      <c r="L892" s="16" t="str">
        <f t="shared" si="69"/>
        <v>일</v>
      </c>
      <c r="M892" s="17" t="str">
        <f>IFERROR(VLOOKUP(B892,공휴일!B:C,2,0),"")</f>
        <v/>
      </c>
    </row>
    <row r="893" spans="2:13" x14ac:dyDescent="0.3">
      <c r="B893" s="142">
        <v>47112</v>
      </c>
      <c r="C893" s="143" t="s">
        <v>41</v>
      </c>
      <c r="D893" s="144"/>
      <c r="E893" s="143" t="s">
        <v>22</v>
      </c>
      <c r="F893" s="144"/>
      <c r="G893" s="147"/>
      <c r="H893" s="148" t="str">
        <f>IF(WORKDAY(B893-1,1,공휴일!$B$4:$B$24)=B893,IF(WORKDAY(B893,1,공휴일!$B$4:$B$24)&lt;&gt;B893+1,"금요일","평일"),IF(WORKDAY(B893,1,공휴일!$B$4:$B$24)&lt;&gt;B893+1,"토요일","일요일"))</f>
        <v>평일</v>
      </c>
      <c r="I893" s="125" t="str">
        <f t="shared" si="66"/>
        <v>2028-12</v>
      </c>
      <c r="J893" s="93" t="str">
        <f t="shared" si="67"/>
        <v>송남철</v>
      </c>
      <c r="K893" s="93" t="str">
        <f t="shared" si="68"/>
        <v>서진호</v>
      </c>
      <c r="L893" s="16" t="str">
        <f t="shared" si="69"/>
        <v>월</v>
      </c>
      <c r="M893" s="17" t="str">
        <f>IFERROR(VLOOKUP(B893,공휴일!B:C,2,0),"")</f>
        <v>성탄절</v>
      </c>
    </row>
    <row r="894" spans="2:13" x14ac:dyDescent="0.3">
      <c r="B894" s="142">
        <v>47113</v>
      </c>
      <c r="C894" s="143" t="s">
        <v>17</v>
      </c>
      <c r="D894" s="144"/>
      <c r="E894" s="143" t="s">
        <v>11</v>
      </c>
      <c r="F894" s="144"/>
      <c r="G894" s="147"/>
      <c r="H894" s="148" t="str">
        <f>IF(WORKDAY(B894-1,1,공휴일!$B$4:$B$24)=B894,IF(WORKDAY(B894,1,공휴일!$B$4:$B$24)&lt;&gt;B894+1,"금요일","평일"),IF(WORKDAY(B894,1,공휴일!$B$4:$B$24)&lt;&gt;B894+1,"토요일","일요일"))</f>
        <v>평일</v>
      </c>
      <c r="I894" s="125" t="str">
        <f t="shared" si="66"/>
        <v>2028-12</v>
      </c>
      <c r="J894" s="93" t="str">
        <f t="shared" si="67"/>
        <v>신혜원</v>
      </c>
      <c r="K894" s="93" t="str">
        <f t="shared" si="68"/>
        <v>장민우</v>
      </c>
      <c r="L894" s="16" t="str">
        <f t="shared" si="69"/>
        <v>화</v>
      </c>
      <c r="M894" s="17" t="str">
        <f>IFERROR(VLOOKUP(B894,공휴일!B:C,2,0),"")</f>
        <v/>
      </c>
    </row>
    <row r="895" spans="2:13" x14ac:dyDescent="0.3">
      <c r="B895" s="142">
        <v>47114</v>
      </c>
      <c r="C895" s="143" t="s">
        <v>40</v>
      </c>
      <c r="D895" s="144"/>
      <c r="E895" s="143" t="s">
        <v>19</v>
      </c>
      <c r="F895" s="144"/>
      <c r="G895" s="147"/>
      <c r="H895" s="148" t="str">
        <f>IF(WORKDAY(B895-1,1,공휴일!$B$4:$B$24)=B895,IF(WORKDAY(B895,1,공휴일!$B$4:$B$24)&lt;&gt;B895+1,"금요일","평일"),IF(WORKDAY(B895,1,공휴일!$B$4:$B$24)&lt;&gt;B895+1,"토요일","일요일"))</f>
        <v>평일</v>
      </c>
      <c r="I895" s="125" t="str">
        <f t="shared" si="66"/>
        <v>2028-12</v>
      </c>
      <c r="J895" s="93" t="str">
        <f t="shared" si="67"/>
        <v>여철호</v>
      </c>
      <c r="K895" s="93" t="str">
        <f t="shared" si="68"/>
        <v>우정수</v>
      </c>
      <c r="L895" s="16" t="str">
        <f t="shared" si="69"/>
        <v>수</v>
      </c>
      <c r="M895" s="17" t="str">
        <f>IFERROR(VLOOKUP(B895,공휴일!B:C,2,0),"")</f>
        <v/>
      </c>
    </row>
    <row r="896" spans="2:13" x14ac:dyDescent="0.3">
      <c r="B896" s="142">
        <v>47115</v>
      </c>
      <c r="C896" s="143" t="s">
        <v>15</v>
      </c>
      <c r="D896" s="144"/>
      <c r="E896" s="143" t="s">
        <v>44</v>
      </c>
      <c r="F896" s="144"/>
      <c r="G896" s="147"/>
      <c r="H896" s="148" t="str">
        <f>IF(WORKDAY(B896-1,1,공휴일!$B$4:$B$24)=B896,IF(WORKDAY(B896,1,공휴일!$B$4:$B$24)&lt;&gt;B896+1,"금요일","평일"),IF(WORKDAY(B896,1,공휴일!$B$4:$B$24)&lt;&gt;B896+1,"토요일","일요일"))</f>
        <v>평일</v>
      </c>
      <c r="I896" s="125" t="str">
        <f t="shared" si="66"/>
        <v>2028-12</v>
      </c>
      <c r="J896" s="93" t="str">
        <f t="shared" si="67"/>
        <v>구민아</v>
      </c>
      <c r="K896" s="93" t="str">
        <f t="shared" si="68"/>
        <v>오기희</v>
      </c>
      <c r="L896" s="16" t="str">
        <f t="shared" si="69"/>
        <v>목</v>
      </c>
      <c r="M896" s="17" t="str">
        <f>IFERROR(VLOOKUP(B896,공휴일!B:C,2,0),"")</f>
        <v/>
      </c>
    </row>
    <row r="897" spans="2:13" x14ac:dyDescent="0.3">
      <c r="B897" s="142">
        <v>47116</v>
      </c>
      <c r="C897" s="143" t="s">
        <v>14</v>
      </c>
      <c r="D897" s="144"/>
      <c r="E897" s="143" t="s">
        <v>18</v>
      </c>
      <c r="F897" s="144"/>
      <c r="G897" s="147"/>
      <c r="H897" s="148" t="str">
        <f>IF(WORKDAY(B897-1,1,공휴일!$B$4:$B$24)=B897,IF(WORKDAY(B897,1,공휴일!$B$4:$B$24)&lt;&gt;B897+1,"금요일","평일"),IF(WORKDAY(B897,1,공휴일!$B$4:$B$24)&lt;&gt;B897+1,"토요일","일요일"))</f>
        <v>금요일</v>
      </c>
      <c r="I897" s="125" t="str">
        <f t="shared" si="66"/>
        <v>2028-12</v>
      </c>
      <c r="J897" s="93" t="str">
        <f t="shared" si="67"/>
        <v>고석규</v>
      </c>
      <c r="K897" s="93" t="str">
        <f t="shared" si="68"/>
        <v>이승현</v>
      </c>
      <c r="L897" s="16" t="str">
        <f t="shared" si="69"/>
        <v>금</v>
      </c>
      <c r="M897" s="17" t="str">
        <f>IFERROR(VLOOKUP(B897,공휴일!B:C,2,0),"")</f>
        <v/>
      </c>
    </row>
    <row r="898" spans="2:13" x14ac:dyDescent="0.3">
      <c r="B898" s="142">
        <v>47117</v>
      </c>
      <c r="C898" s="143" t="s">
        <v>12</v>
      </c>
      <c r="D898" s="144"/>
      <c r="E898" s="143" t="s">
        <v>10</v>
      </c>
      <c r="F898" s="144"/>
      <c r="G898" s="147"/>
      <c r="H898" s="148" t="str">
        <f>IF(WORKDAY(B898-1,1,공휴일!$B$4:$B$24)=B898,IF(WORKDAY(B898,1,공휴일!$B$4:$B$24)&lt;&gt;B898+1,"금요일","평일"),IF(WORKDAY(B898,1,공휴일!$B$4:$B$24)&lt;&gt;B898+1,"토요일","일요일"))</f>
        <v>토요일</v>
      </c>
      <c r="I898" s="125" t="str">
        <f t="shared" si="66"/>
        <v>2028-12</v>
      </c>
      <c r="J898" s="93" t="str">
        <f t="shared" si="67"/>
        <v>한문영</v>
      </c>
      <c r="K898" s="93" t="str">
        <f t="shared" si="68"/>
        <v>유진수</v>
      </c>
      <c r="L898" s="16" t="str">
        <f t="shared" si="69"/>
        <v>토</v>
      </c>
      <c r="M898" s="17" t="str">
        <f>IFERROR(VLOOKUP(B898,공휴일!B:C,2,0),"")</f>
        <v/>
      </c>
    </row>
    <row r="899" spans="2:13" x14ac:dyDescent="0.3">
      <c r="B899" s="142">
        <v>47118</v>
      </c>
      <c r="C899" s="143" t="s">
        <v>16</v>
      </c>
      <c r="D899" s="144"/>
      <c r="E899" s="143" t="s">
        <v>20</v>
      </c>
      <c r="F899" s="144"/>
      <c r="G899" s="147"/>
      <c r="H899" s="148" t="str">
        <f>IF(WORKDAY(B899-1,1,공휴일!$B$4:$B$24)=B899,IF(WORKDAY(B899,1,공휴일!$B$4:$B$24)&lt;&gt;B899+1,"금요일","평일"),IF(WORKDAY(B899,1,공휴일!$B$4:$B$24)&lt;&gt;B899+1,"토요일","일요일"))</f>
        <v>일요일</v>
      </c>
      <c r="I899" s="125" t="str">
        <f t="shared" si="66"/>
        <v>2028-12</v>
      </c>
      <c r="J899" s="93" t="str">
        <f t="shared" si="67"/>
        <v>이현숙</v>
      </c>
      <c r="K899" s="93" t="str">
        <f t="shared" si="68"/>
        <v>이원철</v>
      </c>
      <c r="L899" s="16" t="str">
        <f t="shared" si="69"/>
        <v>일</v>
      </c>
      <c r="M899" s="17" t="str">
        <f>IFERROR(VLOOKUP(B899,공휴일!B:C,2,0),"")</f>
        <v/>
      </c>
    </row>
  </sheetData>
  <phoneticPr fontId="1" type="noConversion"/>
  <pageMargins left="0.7" right="0.7" top="0.75" bottom="0.75" header="0.3" footer="0.3"/>
  <pageSetup paperSize="9" scale="6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303E-ADA5-4002-A611-3437F8B184C2}">
  <dimension ref="B3:C65"/>
  <sheetViews>
    <sheetView topLeftCell="A25" workbookViewId="0">
      <selection activeCell="O42" sqref="O42"/>
    </sheetView>
  </sheetViews>
  <sheetFormatPr defaultRowHeight="16.5" x14ac:dyDescent="0.3"/>
  <cols>
    <col min="2" max="2" width="14.375" style="151" customWidth="1"/>
    <col min="3" max="3" width="23.125" style="152" bestFit="1" customWidth="1"/>
  </cols>
  <sheetData>
    <row r="3" spans="2:3" x14ac:dyDescent="0.3">
      <c r="B3" s="149" t="s">
        <v>7</v>
      </c>
      <c r="C3" s="150" t="s">
        <v>23</v>
      </c>
    </row>
    <row r="4" spans="2:3" x14ac:dyDescent="0.3">
      <c r="B4" s="149">
        <v>46023</v>
      </c>
      <c r="C4" s="150" t="s">
        <v>24</v>
      </c>
    </row>
    <row r="5" spans="2:3" x14ac:dyDescent="0.3">
      <c r="B5" s="149">
        <v>46069</v>
      </c>
      <c r="C5" s="150" t="s">
        <v>25</v>
      </c>
    </row>
    <row r="6" spans="2:3" x14ac:dyDescent="0.3">
      <c r="B6" s="149">
        <v>46070</v>
      </c>
      <c r="C6" s="150" t="s">
        <v>25</v>
      </c>
    </row>
    <row r="7" spans="2:3" x14ac:dyDescent="0.3">
      <c r="B7" s="149">
        <v>46071</v>
      </c>
      <c r="C7" s="150" t="s">
        <v>25</v>
      </c>
    </row>
    <row r="8" spans="2:3" x14ac:dyDescent="0.3">
      <c r="B8" s="149">
        <v>46082</v>
      </c>
      <c r="C8" s="150" t="s">
        <v>26</v>
      </c>
    </row>
    <row r="9" spans="2:3" x14ac:dyDescent="0.3">
      <c r="B9" s="149">
        <v>46083</v>
      </c>
      <c r="C9" s="150" t="s">
        <v>29</v>
      </c>
    </row>
    <row r="10" spans="2:3" x14ac:dyDescent="0.3">
      <c r="B10" s="149">
        <v>46147</v>
      </c>
      <c r="C10" s="150" t="s">
        <v>27</v>
      </c>
    </row>
    <row r="11" spans="2:3" x14ac:dyDescent="0.3">
      <c r="B11" s="149">
        <v>46166</v>
      </c>
      <c r="C11" s="150" t="s">
        <v>28</v>
      </c>
    </row>
    <row r="12" spans="2:3" x14ac:dyDescent="0.3">
      <c r="B12" s="149">
        <v>46167</v>
      </c>
      <c r="C12" s="150" t="s">
        <v>29</v>
      </c>
    </row>
    <row r="13" spans="2:3" x14ac:dyDescent="0.3">
      <c r="B13" s="149">
        <v>46176</v>
      </c>
      <c r="C13" s="150" t="s">
        <v>30</v>
      </c>
    </row>
    <row r="14" spans="2:3" x14ac:dyDescent="0.3">
      <c r="B14" s="149">
        <v>46179</v>
      </c>
      <c r="C14" s="150" t="s">
        <v>31</v>
      </c>
    </row>
    <row r="15" spans="2:3" x14ac:dyDescent="0.3">
      <c r="B15" s="149">
        <v>46220</v>
      </c>
      <c r="C15" s="150" t="s">
        <v>147</v>
      </c>
    </row>
    <row r="16" spans="2:3" x14ac:dyDescent="0.3">
      <c r="B16" s="149">
        <v>46249</v>
      </c>
      <c r="C16" s="150" t="s">
        <v>32</v>
      </c>
    </row>
    <row r="17" spans="2:3" x14ac:dyDescent="0.3">
      <c r="B17" s="149">
        <v>46251</v>
      </c>
      <c r="C17" s="150" t="s">
        <v>29</v>
      </c>
    </row>
    <row r="18" spans="2:3" x14ac:dyDescent="0.3">
      <c r="B18" s="149">
        <v>46289</v>
      </c>
      <c r="C18" s="150" t="s">
        <v>33</v>
      </c>
    </row>
    <row r="19" spans="2:3" x14ac:dyDescent="0.3">
      <c r="B19" s="149">
        <v>46290</v>
      </c>
      <c r="C19" s="150" t="s">
        <v>36</v>
      </c>
    </row>
    <row r="20" spans="2:3" x14ac:dyDescent="0.3">
      <c r="B20" s="149">
        <v>46291</v>
      </c>
      <c r="C20" s="150" t="s">
        <v>33</v>
      </c>
    </row>
    <row r="21" spans="2:3" x14ac:dyDescent="0.3">
      <c r="B21" s="149">
        <v>46298</v>
      </c>
      <c r="C21" s="150" t="s">
        <v>34</v>
      </c>
    </row>
    <row r="22" spans="2:3" x14ac:dyDescent="0.3">
      <c r="B22" s="149">
        <v>46300</v>
      </c>
      <c r="C22" s="150" t="s">
        <v>29</v>
      </c>
    </row>
    <row r="23" spans="2:3" x14ac:dyDescent="0.3">
      <c r="B23" s="149">
        <v>46304</v>
      </c>
      <c r="C23" s="150" t="s">
        <v>35</v>
      </c>
    </row>
    <row r="24" spans="2:3" x14ac:dyDescent="0.3">
      <c r="B24" s="149">
        <v>46381</v>
      </c>
      <c r="C24" s="150" t="s">
        <v>39</v>
      </c>
    </row>
    <row r="25" spans="2:3" x14ac:dyDescent="0.3">
      <c r="B25" s="151">
        <v>46388</v>
      </c>
      <c r="C25" s="152" t="s">
        <v>150</v>
      </c>
    </row>
    <row r="26" spans="2:3" x14ac:dyDescent="0.3">
      <c r="B26" s="151">
        <v>46434</v>
      </c>
      <c r="C26" s="152" t="s">
        <v>151</v>
      </c>
    </row>
    <row r="27" spans="2:3" x14ac:dyDescent="0.3">
      <c r="B27" s="151">
        <v>46435</v>
      </c>
      <c r="C27" s="152" t="s">
        <v>152</v>
      </c>
    </row>
    <row r="28" spans="2:3" x14ac:dyDescent="0.3">
      <c r="B28" s="151">
        <v>46436</v>
      </c>
      <c r="C28" s="152" t="s">
        <v>151</v>
      </c>
    </row>
    <row r="29" spans="2:3" x14ac:dyDescent="0.3">
      <c r="B29" s="151">
        <v>46447</v>
      </c>
      <c r="C29" s="152" t="s">
        <v>153</v>
      </c>
    </row>
    <row r="30" spans="2:3" x14ac:dyDescent="0.3">
      <c r="B30" s="151">
        <v>46512</v>
      </c>
      <c r="C30" s="152" t="s">
        <v>154</v>
      </c>
    </row>
    <row r="31" spans="2:3" x14ac:dyDescent="0.3">
      <c r="B31" s="151">
        <v>46533</v>
      </c>
      <c r="C31" s="152" t="s">
        <v>155</v>
      </c>
    </row>
    <row r="32" spans="2:3" x14ac:dyDescent="0.3">
      <c r="B32" s="151">
        <v>46544</v>
      </c>
      <c r="C32" s="152" t="s">
        <v>156</v>
      </c>
    </row>
    <row r="33" spans="2:3" x14ac:dyDescent="0.3">
      <c r="B33" s="151">
        <v>46545</v>
      </c>
      <c r="C33" s="152" t="s">
        <v>157</v>
      </c>
    </row>
    <row r="34" spans="2:3" x14ac:dyDescent="0.3">
      <c r="B34" s="151">
        <v>46614</v>
      </c>
      <c r="C34" s="152" t="s">
        <v>158</v>
      </c>
    </row>
    <row r="35" spans="2:3" x14ac:dyDescent="0.3">
      <c r="B35" s="151">
        <v>46615</v>
      </c>
      <c r="C35" s="152" t="s">
        <v>157</v>
      </c>
    </row>
    <row r="36" spans="2:3" x14ac:dyDescent="0.3">
      <c r="B36" s="151">
        <v>46653</v>
      </c>
      <c r="C36" s="152" t="s">
        <v>159</v>
      </c>
    </row>
    <row r="37" spans="2:3" x14ac:dyDescent="0.3">
      <c r="B37" s="151">
        <v>46654</v>
      </c>
      <c r="C37" s="152" t="s">
        <v>160</v>
      </c>
    </row>
    <row r="38" spans="2:3" x14ac:dyDescent="0.3">
      <c r="B38" s="151">
        <v>46655</v>
      </c>
      <c r="C38" s="152" t="s">
        <v>159</v>
      </c>
    </row>
    <row r="39" spans="2:3" x14ac:dyDescent="0.3">
      <c r="B39" s="151">
        <v>46656</v>
      </c>
      <c r="C39" s="152" t="s">
        <v>159</v>
      </c>
    </row>
    <row r="40" spans="2:3" x14ac:dyDescent="0.3">
      <c r="B40" s="151">
        <v>46657</v>
      </c>
      <c r="C40" s="152" t="s">
        <v>157</v>
      </c>
    </row>
    <row r="41" spans="2:3" x14ac:dyDescent="0.3">
      <c r="B41" s="151">
        <v>46663</v>
      </c>
      <c r="C41" s="152" t="s">
        <v>161</v>
      </c>
    </row>
    <row r="42" spans="2:3" x14ac:dyDescent="0.3">
      <c r="B42" s="151">
        <v>46664</v>
      </c>
      <c r="C42" s="152" t="s">
        <v>157</v>
      </c>
    </row>
    <row r="43" spans="2:3" x14ac:dyDescent="0.3">
      <c r="B43" s="151">
        <v>46669</v>
      </c>
      <c r="C43" s="152" t="s">
        <v>162</v>
      </c>
    </row>
    <row r="44" spans="2:3" x14ac:dyDescent="0.3">
      <c r="B44" s="151">
        <v>46746</v>
      </c>
      <c r="C44" s="152" t="s">
        <v>163</v>
      </c>
    </row>
    <row r="45" spans="2:3" x14ac:dyDescent="0.3">
      <c r="B45" s="151">
        <v>46753</v>
      </c>
      <c r="C45" s="152" t="s">
        <v>150</v>
      </c>
    </row>
    <row r="46" spans="2:3" x14ac:dyDescent="0.3">
      <c r="B46" s="151">
        <v>46755</v>
      </c>
      <c r="C46" s="152" t="s">
        <v>157</v>
      </c>
    </row>
    <row r="47" spans="2:3" x14ac:dyDescent="0.3">
      <c r="B47" s="151">
        <v>46788</v>
      </c>
      <c r="C47" s="152" t="s">
        <v>151</v>
      </c>
    </row>
    <row r="48" spans="2:3" x14ac:dyDescent="0.3">
      <c r="B48" s="151">
        <v>46789</v>
      </c>
      <c r="C48" s="152" t="s">
        <v>152</v>
      </c>
    </row>
    <row r="49" spans="2:3" x14ac:dyDescent="0.3">
      <c r="B49" s="151">
        <v>46790</v>
      </c>
      <c r="C49" s="152" t="s">
        <v>151</v>
      </c>
    </row>
    <row r="50" spans="2:3" x14ac:dyDescent="0.3">
      <c r="B50" s="151">
        <v>46791</v>
      </c>
      <c r="C50" s="152" t="s">
        <v>157</v>
      </c>
    </row>
    <row r="51" spans="2:3" x14ac:dyDescent="0.3">
      <c r="B51" s="151">
        <v>46792</v>
      </c>
      <c r="C51" s="152" t="s">
        <v>157</v>
      </c>
    </row>
    <row r="52" spans="2:3" x14ac:dyDescent="0.3">
      <c r="B52" s="151">
        <v>46813</v>
      </c>
      <c r="C52" s="152" t="s">
        <v>153</v>
      </c>
    </row>
    <row r="53" spans="2:3" x14ac:dyDescent="0.3">
      <c r="B53" s="151">
        <v>46848</v>
      </c>
      <c r="C53" s="152" t="s">
        <v>164</v>
      </c>
    </row>
    <row r="54" spans="2:3" x14ac:dyDescent="0.3">
      <c r="B54" s="151">
        <v>46878</v>
      </c>
      <c r="C54" s="152" t="s">
        <v>154</v>
      </c>
    </row>
    <row r="55" spans="2:3" x14ac:dyDescent="0.3">
      <c r="B55" s="151">
        <v>46898</v>
      </c>
      <c r="C55" s="152" t="s">
        <v>155</v>
      </c>
    </row>
    <row r="56" spans="2:3" x14ac:dyDescent="0.3">
      <c r="B56" s="151">
        <v>46910</v>
      </c>
      <c r="C56" s="152" t="s">
        <v>156</v>
      </c>
    </row>
    <row r="57" spans="2:3" x14ac:dyDescent="0.3">
      <c r="B57" s="151">
        <v>46980</v>
      </c>
      <c r="C57" s="152" t="s">
        <v>158</v>
      </c>
    </row>
    <row r="58" spans="2:3" x14ac:dyDescent="0.3">
      <c r="B58" s="151">
        <v>47018</v>
      </c>
      <c r="C58" s="152" t="s">
        <v>159</v>
      </c>
    </row>
    <row r="59" spans="2:3" x14ac:dyDescent="0.3">
      <c r="B59" s="151">
        <v>47019</v>
      </c>
      <c r="C59" s="152" t="s">
        <v>160</v>
      </c>
    </row>
    <row r="60" spans="2:3" x14ac:dyDescent="0.3">
      <c r="B60" s="151">
        <v>47020</v>
      </c>
      <c r="C60" s="152" t="s">
        <v>159</v>
      </c>
    </row>
    <row r="61" spans="2:3" x14ac:dyDescent="0.3">
      <c r="B61" s="151">
        <v>47021</v>
      </c>
      <c r="C61" s="152" t="s">
        <v>157</v>
      </c>
    </row>
    <row r="62" spans="2:3" x14ac:dyDescent="0.3">
      <c r="B62" s="151">
        <v>47022</v>
      </c>
      <c r="C62" s="152" t="s">
        <v>157</v>
      </c>
    </row>
    <row r="63" spans="2:3" x14ac:dyDescent="0.3">
      <c r="B63" s="151">
        <v>47029</v>
      </c>
      <c r="C63" s="152" t="s">
        <v>161</v>
      </c>
    </row>
    <row r="64" spans="2:3" x14ac:dyDescent="0.3">
      <c r="B64" s="151">
        <v>47035</v>
      </c>
      <c r="C64" s="152" t="s">
        <v>162</v>
      </c>
    </row>
    <row r="65" spans="2:3" x14ac:dyDescent="0.3">
      <c r="B65" s="151">
        <v>47112</v>
      </c>
      <c r="C65" s="152" t="s">
        <v>163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A0EC-819C-4282-AA0C-D3DD1E32254F}">
  <dimension ref="A1:S25"/>
  <sheetViews>
    <sheetView zoomScale="85" zoomScaleNormal="85" workbookViewId="0">
      <pane ySplit="2" topLeftCell="A15" activePane="bottomLeft" state="frozen"/>
      <selection pane="bottomLeft" activeCell="O2" sqref="O2"/>
    </sheetView>
  </sheetViews>
  <sheetFormatPr defaultRowHeight="13.5" x14ac:dyDescent="0.3"/>
  <cols>
    <col min="1" max="1" width="6.625" style="35" customWidth="1"/>
    <col min="2" max="2" width="8.75" style="34" customWidth="1"/>
    <col min="3" max="3" width="7.625" style="34" customWidth="1"/>
    <col min="4" max="6" width="7.625" style="35" customWidth="1"/>
    <col min="7" max="8" width="8.25" style="35" customWidth="1"/>
    <col min="9" max="11" width="8.25" style="34" customWidth="1"/>
    <col min="12" max="12" width="17.875" style="34" customWidth="1"/>
    <col min="13" max="13" width="9" style="34"/>
    <col min="14" max="14" width="13.875" style="34" bestFit="1" customWidth="1"/>
    <col min="15" max="15" width="12.875" style="34" customWidth="1"/>
    <col min="16" max="16384" width="9" style="34"/>
  </cols>
  <sheetData>
    <row r="1" spans="1:19" ht="59.25" customHeight="1" thickBot="1" x14ac:dyDescent="0.35">
      <c r="A1" s="157" t="str">
        <f>TEXT(O1,"m")&amp;"월 의료과 숙직 및 출근일수"</f>
        <v>9월 의료과 숙직 및 출근일수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9"/>
      <c r="N1" s="127" t="s">
        <v>138</v>
      </c>
      <c r="O1" s="126" t="s">
        <v>165</v>
      </c>
      <c r="P1" s="119" t="s">
        <v>142</v>
      </c>
    </row>
    <row r="2" spans="1:19" ht="49.5" x14ac:dyDescent="0.3">
      <c r="A2" s="46" t="s">
        <v>86</v>
      </c>
      <c r="B2" s="46" t="s">
        <v>85</v>
      </c>
      <c r="C2" s="46" t="s">
        <v>84</v>
      </c>
      <c r="D2" s="46" t="s">
        <v>83</v>
      </c>
      <c r="E2" s="46" t="s">
        <v>82</v>
      </c>
      <c r="F2" s="46" t="s">
        <v>81</v>
      </c>
      <c r="G2" s="46" t="s">
        <v>80</v>
      </c>
      <c r="H2" s="46" t="s">
        <v>79</v>
      </c>
      <c r="I2" s="45" t="s">
        <v>78</v>
      </c>
      <c r="J2" s="45" t="s">
        <v>77</v>
      </c>
      <c r="K2" s="45" t="s">
        <v>76</v>
      </c>
      <c r="L2" s="45" t="s">
        <v>75</v>
      </c>
    </row>
    <row r="3" spans="1:19" ht="30" customHeight="1" x14ac:dyDescent="0.3">
      <c r="A3" s="44">
        <f>ROW(A3)-ROW($A$2)</f>
        <v>1</v>
      </c>
      <c r="B3" s="37" t="s">
        <v>74</v>
      </c>
      <c r="C3" s="43">
        <f>COUNTIFS(숙직근무자!$I:$I,"*"&amp;$O$1&amp;"*",숙직근무자!$H:$H,"평일", 숙직근무자!$J:$J,$B3)+COUNTIFS(숙직근무자!$I:$I,"*"&amp;$O$1&amp;"*",숙직근무자!$H:$H,"평일", 숙직근무자!$K:$K,$B3)</f>
        <v>0</v>
      </c>
      <c r="D3" s="43">
        <f>COUNTIFS(숙직근무자!$I:$I,"*"&amp;$O$1&amp;"*",숙직근무자!$H:$H,"금요일", 숙직근무자!$J:$J,$B3)+COUNTIFS(숙직근무자!$I:$I,"*"&amp;$O$1&amp;"*",숙직근무자!$H:$H,"금요일", 숙직근무자!$K:$K,$B3)</f>
        <v>0</v>
      </c>
      <c r="E3" s="42">
        <f>COUNTIFS(숙직근무자!$I:$I,"*"&amp;$O$1&amp;"*",숙직근무자!$H:$H,"토요일", 숙직근무자!$J:$J,$B3)+COUNTIFS(숙직근무자!$I:$I,"*"&amp;$O$1&amp;"*",숙직근무자!$H:$H,"토요일", 숙직근무자!$K:$K,$B3)</f>
        <v>0</v>
      </c>
      <c r="F3" s="42">
        <f>COUNTIFS(숙직근무자!$I:$I,"*"&amp;$O$1&amp;"*",숙직근무자!$H:$H,"일요일", 숙직근무자!$J:$J,$B3)+COUNTIFS(숙직근무자!$I:$I,"*"&amp;$O$1&amp;"*",숙직근무자!$H:$H,"일요일", 숙직근무자!$K:$K,$B3)</f>
        <v>0</v>
      </c>
      <c r="G3" s="41">
        <f>SUM(C3:F3)</f>
        <v>0</v>
      </c>
      <c r="H3" s="41">
        <f>SUM(E3:F3)</f>
        <v>0</v>
      </c>
      <c r="I3" s="40"/>
      <c r="J3" s="39">
        <f>C3+F3</f>
        <v>0</v>
      </c>
      <c r="K3" s="38"/>
      <c r="L3" s="37" t="s">
        <v>73</v>
      </c>
    </row>
    <row r="4" spans="1:19" ht="30" customHeight="1" x14ac:dyDescent="0.3">
      <c r="A4" s="44">
        <f t="shared" ref="A4:A24" si="0">ROW(A4)-ROW($A$2)</f>
        <v>2</v>
      </c>
      <c r="B4" s="37" t="s">
        <v>72</v>
      </c>
      <c r="C4" s="43">
        <f>COUNTIFS(숙직근무자!$I:$I,"*"&amp;$O$1&amp;"*",숙직근무자!$H:$H,"평일", 숙직근무자!$J:$J,$B4)+COUNTIFS(숙직근무자!$I:$I,"*"&amp;$O$1&amp;"*",숙직근무자!$H:$H,"평일", 숙직근무자!$K:$K,$B4)</f>
        <v>0</v>
      </c>
      <c r="D4" s="43">
        <f>COUNTIFS(숙직근무자!$I:$I,"*"&amp;$O$1&amp;"*",숙직근무자!$H:$H,"금요일", 숙직근무자!$J:$J,$B4)+COUNTIFS(숙직근무자!$I:$I,"*"&amp;$O$1&amp;"*",숙직근무자!$H:$H,"금요일", 숙직근무자!$K:$K,$B4)</f>
        <v>0</v>
      </c>
      <c r="E4" s="42">
        <f>COUNTIFS(숙직근무자!$I:$I,"*"&amp;$O$1&amp;"*",숙직근무자!$H:$H,"토요일", 숙직근무자!$J:$J,$B4)+COUNTIFS(숙직근무자!$I:$I,"*"&amp;$O$1&amp;"*",숙직근무자!$H:$H,"토요일", 숙직근무자!$K:$K,$B4)</f>
        <v>0</v>
      </c>
      <c r="F4" s="42">
        <f>COUNTIFS(숙직근무자!$I:$I,"*"&amp;$O$1&amp;"*",숙직근무자!$H:$H,"일요일", 숙직근무자!$J:$J,$B4)+COUNTIFS(숙직근무자!$I:$I,"*"&amp;$O$1&amp;"*",숙직근무자!$H:$H,"일요일", 숙직근무자!$K:$K,$B4)</f>
        <v>0</v>
      </c>
      <c r="G4" s="41">
        <f>SUM(C4:F4)</f>
        <v>0</v>
      </c>
      <c r="H4" s="41">
        <f>SUM(E4:F4)</f>
        <v>0</v>
      </c>
      <c r="I4" s="40"/>
      <c r="J4" s="39">
        <f>C4+F4</f>
        <v>0</v>
      </c>
      <c r="K4" s="38"/>
      <c r="L4" s="37" t="s">
        <v>71</v>
      </c>
    </row>
    <row r="5" spans="1:19" ht="30" customHeight="1" x14ac:dyDescent="0.3">
      <c r="A5" s="44">
        <f t="shared" si="0"/>
        <v>3</v>
      </c>
      <c r="B5" s="37" t="s">
        <v>70</v>
      </c>
      <c r="C5" s="43">
        <f>COUNTIFS(숙직근무자!$I:$I,"*"&amp;$O$1&amp;"*",숙직근무자!$H:$H,"평일", 숙직근무자!$J:$J,$B5)+COUNTIFS(숙직근무자!$I:$I,"*"&amp;$O$1&amp;"*",숙직근무자!$H:$H,"평일", 숙직근무자!$K:$K,$B5)</f>
        <v>0</v>
      </c>
      <c r="D5" s="43">
        <f>COUNTIFS(숙직근무자!$I:$I,"*"&amp;$O$1&amp;"*",숙직근무자!$H:$H,"금요일", 숙직근무자!$J:$J,$B5)+COUNTIFS(숙직근무자!$I:$I,"*"&amp;$O$1&amp;"*",숙직근무자!$H:$H,"금요일", 숙직근무자!$K:$K,$B5)</f>
        <v>0</v>
      </c>
      <c r="E5" s="42">
        <f>COUNTIFS(숙직근무자!$I:$I,"*"&amp;$O$1&amp;"*",숙직근무자!$H:$H,"토요일", 숙직근무자!$J:$J,$B5)+COUNTIFS(숙직근무자!$I:$I,"*"&amp;$O$1&amp;"*",숙직근무자!$H:$H,"토요일", 숙직근무자!$K:$K,$B5)</f>
        <v>0</v>
      </c>
      <c r="F5" s="42">
        <f>COUNTIFS(숙직근무자!$I:$I,"*"&amp;$O$1&amp;"*",숙직근무자!$H:$H,"일요일", 숙직근무자!$J:$J,$B5)+COUNTIFS(숙직근무자!$I:$I,"*"&amp;$O$1&amp;"*",숙직근무자!$H:$H,"일요일", 숙직근무자!$K:$K,$B5)</f>
        <v>0</v>
      </c>
      <c r="G5" s="41">
        <v>0</v>
      </c>
      <c r="H5" s="41">
        <v>0</v>
      </c>
      <c r="I5" s="40"/>
      <c r="J5" s="39">
        <v>0</v>
      </c>
      <c r="K5" s="38"/>
      <c r="L5" s="138"/>
    </row>
    <row r="6" spans="1:19" ht="30" customHeight="1" x14ac:dyDescent="0.3">
      <c r="A6" s="44">
        <f t="shared" si="0"/>
        <v>4</v>
      </c>
      <c r="B6" s="37" t="s">
        <v>69</v>
      </c>
      <c r="C6" s="43">
        <f>COUNTIFS(숙직근무자!$I:$I,"*"&amp;$O$1&amp;"*",숙직근무자!$H:$H,"평일", 숙직근무자!$J:$J,$B6)+COUNTIFS(숙직근무자!$I:$I,"*"&amp;$O$1&amp;"*",숙직근무자!$H:$H,"평일", 숙직근무자!$K:$K,$B6)</f>
        <v>0</v>
      </c>
      <c r="D6" s="43">
        <f>COUNTIFS(숙직근무자!$I:$I,"*"&amp;$O$1&amp;"*",숙직근무자!$H:$H,"금요일", 숙직근무자!$J:$J,$B6)+COUNTIFS(숙직근무자!$I:$I,"*"&amp;$O$1&amp;"*",숙직근무자!$H:$H,"금요일", 숙직근무자!$K:$K,$B6)</f>
        <v>0</v>
      </c>
      <c r="E6" s="42">
        <f>COUNTIFS(숙직근무자!$I:$I,"*"&amp;$O$1&amp;"*",숙직근무자!$H:$H,"토요일", 숙직근무자!$J:$J,$B6)+COUNTIFS(숙직근무자!$I:$I,"*"&amp;$O$1&amp;"*",숙직근무자!$H:$H,"토요일", 숙직근무자!$K:$K,$B6)</f>
        <v>0</v>
      </c>
      <c r="F6" s="42">
        <f>COUNTIFS(숙직근무자!$I:$I,"*"&amp;$O$1&amp;"*",숙직근무자!$H:$H,"일요일", 숙직근무자!$J:$J,$B6)+COUNTIFS(숙직근무자!$I:$I,"*"&amp;$O$1&amp;"*",숙직근무자!$H:$H,"일요일", 숙직근무자!$K:$K,$B6)</f>
        <v>0</v>
      </c>
      <c r="G6" s="41">
        <f t="shared" ref="G6:G23" si="1">SUM(C6:F6)</f>
        <v>0</v>
      </c>
      <c r="H6" s="41">
        <f t="shared" ref="H6:H23" si="2">SUM(E6:F6)</f>
        <v>0</v>
      </c>
      <c r="I6" s="40"/>
      <c r="J6" s="39">
        <v>0</v>
      </c>
      <c r="K6" s="38"/>
      <c r="L6" s="138"/>
      <c r="S6" s="34" t="s">
        <v>141</v>
      </c>
    </row>
    <row r="7" spans="1:19" ht="30" customHeight="1" x14ac:dyDescent="0.3">
      <c r="A7" s="44">
        <f t="shared" si="0"/>
        <v>5</v>
      </c>
      <c r="B7" s="37" t="s">
        <v>68</v>
      </c>
      <c r="C7" s="43">
        <f>COUNTIFS(숙직근무자!$I:$I,"*"&amp;$O$1&amp;"*",숙직근무자!$H:$H,"평일", 숙직근무자!$J:$J,$B7)+COUNTIFS(숙직근무자!$I:$I,"*"&amp;$O$1&amp;"*",숙직근무자!$H:$H,"평일", 숙직근무자!$K:$K,$B7)</f>
        <v>0</v>
      </c>
      <c r="D7" s="43">
        <f>COUNTIFS(숙직근무자!$I:$I,"*"&amp;$O$1&amp;"*",숙직근무자!$H:$H,"금요일", 숙직근무자!$J:$J,$B7)+COUNTIFS(숙직근무자!$I:$I,"*"&amp;$O$1&amp;"*",숙직근무자!$H:$H,"금요일", 숙직근무자!$K:$K,$B7)</f>
        <v>0</v>
      </c>
      <c r="E7" s="42">
        <f>COUNTIFS(숙직근무자!$I:$I,"*"&amp;$O$1&amp;"*",숙직근무자!$H:$H,"토요일", 숙직근무자!$J:$J,$B7)+COUNTIFS(숙직근무자!$I:$I,"*"&amp;$O$1&amp;"*",숙직근무자!$H:$H,"토요일", 숙직근무자!$K:$K,$B7)</f>
        <v>0</v>
      </c>
      <c r="F7" s="42">
        <f>COUNTIFS(숙직근무자!$I:$I,"*"&amp;$O$1&amp;"*",숙직근무자!$H:$H,"일요일", 숙직근무자!$J:$J,$B7)+COUNTIFS(숙직근무자!$I:$I,"*"&amp;$O$1&amp;"*",숙직근무자!$H:$H,"일요일", 숙직근무자!$K:$K,$B7)</f>
        <v>0</v>
      </c>
      <c r="G7" s="41">
        <f t="shared" si="1"/>
        <v>0</v>
      </c>
      <c r="H7" s="41">
        <f t="shared" si="2"/>
        <v>0</v>
      </c>
      <c r="I7" s="40"/>
      <c r="J7" s="39">
        <f t="shared" ref="J7:J23" si="3">C7+F7</f>
        <v>0</v>
      </c>
      <c r="K7" s="38"/>
      <c r="L7" s="138"/>
    </row>
    <row r="8" spans="1:19" ht="30" customHeight="1" x14ac:dyDescent="0.3">
      <c r="A8" s="44">
        <f t="shared" si="0"/>
        <v>6</v>
      </c>
      <c r="B8" s="37" t="s">
        <v>67</v>
      </c>
      <c r="C8" s="43">
        <f>COUNTIFS(숙직근무자!$I:$I,"*"&amp;$O$1&amp;"*",숙직근무자!$H:$H,"평일", 숙직근무자!$J:$J,$B8)+COUNTIFS(숙직근무자!$I:$I,"*"&amp;$O$1&amp;"*",숙직근무자!$H:$H,"평일", 숙직근무자!$K:$K,$B8)</f>
        <v>1</v>
      </c>
      <c r="D8" s="43">
        <f>COUNTIFS(숙직근무자!$I:$I,"*"&amp;$O$1&amp;"*",숙직근무자!$H:$H,"금요일", 숙직근무자!$J:$J,$B8)+COUNTIFS(숙직근무자!$I:$I,"*"&amp;$O$1&amp;"*",숙직근무자!$H:$H,"금요일", 숙직근무자!$K:$K,$B8)</f>
        <v>1</v>
      </c>
      <c r="E8" s="42">
        <f>COUNTIFS(숙직근무자!$I:$I,"*"&amp;$O$1&amp;"*",숙직근무자!$H:$H,"토요일", 숙직근무자!$J:$J,$B8)+COUNTIFS(숙직근무자!$I:$I,"*"&amp;$O$1&amp;"*",숙직근무자!$H:$H,"토요일", 숙직근무자!$K:$K,$B8)</f>
        <v>1</v>
      </c>
      <c r="F8" s="42">
        <f>COUNTIFS(숙직근무자!$I:$I,"*"&amp;$O$1&amp;"*",숙직근무자!$H:$H,"일요일", 숙직근무자!$J:$J,$B8)+COUNTIFS(숙직근무자!$I:$I,"*"&amp;$O$1&amp;"*",숙직근무자!$H:$H,"일요일", 숙직근무자!$K:$K,$B8)</f>
        <v>1</v>
      </c>
      <c r="G8" s="41">
        <f t="shared" si="1"/>
        <v>4</v>
      </c>
      <c r="H8" s="41">
        <f t="shared" si="2"/>
        <v>2</v>
      </c>
      <c r="I8" s="40"/>
      <c r="J8" s="39">
        <f t="shared" si="3"/>
        <v>2</v>
      </c>
      <c r="K8" s="38"/>
      <c r="L8" s="37" t="s">
        <v>52</v>
      </c>
    </row>
    <row r="9" spans="1:19" ht="30" customHeight="1" x14ac:dyDescent="0.3">
      <c r="A9" s="44">
        <f t="shared" si="0"/>
        <v>7</v>
      </c>
      <c r="B9" s="37" t="s">
        <v>143</v>
      </c>
      <c r="C9" s="43">
        <f>COUNTIFS(숙직근무자!$I:$I,"*"&amp;$O$1&amp;"*",숙직근무자!$H:$H,"평일", 숙직근무자!$J:$J,$B9)+COUNTIFS(숙직근무자!$I:$I,"*"&amp;$O$1&amp;"*",숙직근무자!$H:$H,"평일", 숙직근무자!$K:$K,$B9)</f>
        <v>3</v>
      </c>
      <c r="D9" s="43">
        <f>COUNTIFS(숙직근무자!$I:$I,"*"&amp;$O$1&amp;"*",숙직근무자!$H:$H,"금요일", 숙직근무자!$J:$J,$B9)+COUNTIFS(숙직근무자!$I:$I,"*"&amp;$O$1&amp;"*",숙직근무자!$H:$H,"금요일", 숙직근무자!$K:$K,$B9)</f>
        <v>0</v>
      </c>
      <c r="E9" s="42">
        <f>COUNTIFS(숙직근무자!$I:$I,"*"&amp;$O$1&amp;"*",숙직근무자!$H:$H,"토요일", 숙직근무자!$J:$J,$B9)+COUNTIFS(숙직근무자!$I:$I,"*"&amp;$O$1&amp;"*",숙직근무자!$H:$H,"토요일", 숙직근무자!$K:$K,$B9)</f>
        <v>1</v>
      </c>
      <c r="F9" s="42">
        <f>COUNTIFS(숙직근무자!$I:$I,"*"&amp;$O$1&amp;"*",숙직근무자!$H:$H,"일요일", 숙직근무자!$J:$J,$B9)+COUNTIFS(숙직근무자!$I:$I,"*"&amp;$O$1&amp;"*",숙직근무자!$H:$H,"일요일", 숙직근무자!$K:$K,$B9)</f>
        <v>0</v>
      </c>
      <c r="G9" s="41">
        <f t="shared" si="1"/>
        <v>4</v>
      </c>
      <c r="H9" s="41">
        <f t="shared" si="2"/>
        <v>1</v>
      </c>
      <c r="I9" s="40"/>
      <c r="J9" s="39">
        <f t="shared" si="3"/>
        <v>3</v>
      </c>
      <c r="K9" s="38"/>
      <c r="L9" s="37" t="s">
        <v>52</v>
      </c>
    </row>
    <row r="10" spans="1:19" ht="30" customHeight="1" x14ac:dyDescent="0.3">
      <c r="A10" s="44">
        <f t="shared" si="0"/>
        <v>8</v>
      </c>
      <c r="B10" s="37" t="s">
        <v>66</v>
      </c>
      <c r="C10" s="43">
        <f>COUNTIFS(숙직근무자!$I:$I,"*"&amp;$O$1&amp;"*",숙직근무자!$H:$H,"평일", 숙직근무자!$J:$J,$B10)+COUNTIFS(숙직근무자!$I:$I,"*"&amp;$O$1&amp;"*",숙직근무자!$H:$H,"평일", 숙직근무자!$K:$K,$B10)</f>
        <v>2</v>
      </c>
      <c r="D10" s="43">
        <f>COUNTIFS(숙직근무자!$I:$I,"*"&amp;$O$1&amp;"*",숙직근무자!$H:$H,"금요일", 숙직근무자!$J:$J,$B10)+COUNTIFS(숙직근무자!$I:$I,"*"&amp;$O$1&amp;"*",숙직근무자!$H:$H,"금요일", 숙직근무자!$K:$K,$B10)</f>
        <v>1</v>
      </c>
      <c r="E10" s="42">
        <f>COUNTIFS(숙직근무자!$I:$I,"*"&amp;$O$1&amp;"*",숙직근무자!$H:$H,"토요일", 숙직근무자!$J:$J,$B10)+COUNTIFS(숙직근무자!$I:$I,"*"&amp;$O$1&amp;"*",숙직근무자!$H:$H,"토요일", 숙직근무자!$K:$K,$B10)</f>
        <v>0</v>
      </c>
      <c r="F10" s="42">
        <f>COUNTIFS(숙직근무자!$I:$I,"*"&amp;$O$1&amp;"*",숙직근무자!$H:$H,"일요일", 숙직근무자!$J:$J,$B10)+COUNTIFS(숙직근무자!$I:$I,"*"&amp;$O$1&amp;"*",숙직근무자!$H:$H,"일요일", 숙직근무자!$K:$K,$B10)</f>
        <v>1</v>
      </c>
      <c r="G10" s="41">
        <f t="shared" si="1"/>
        <v>4</v>
      </c>
      <c r="H10" s="41">
        <f t="shared" si="2"/>
        <v>1</v>
      </c>
      <c r="I10" s="40"/>
      <c r="J10" s="39">
        <f t="shared" si="3"/>
        <v>3</v>
      </c>
      <c r="K10" s="38"/>
      <c r="L10" s="37" t="s">
        <v>52</v>
      </c>
    </row>
    <row r="11" spans="1:19" ht="30" customHeight="1" x14ac:dyDescent="0.3">
      <c r="A11" s="44">
        <f t="shared" si="0"/>
        <v>9</v>
      </c>
      <c r="B11" s="37" t="s">
        <v>65</v>
      </c>
      <c r="C11" s="43">
        <f>COUNTIFS(숙직근무자!$I:$I,"*"&amp;$O$1&amp;"*",숙직근무자!$H:$H,"평일", 숙직근무자!$J:$J,$B11)+COUNTIFS(숙직근무자!$I:$I,"*"&amp;$O$1&amp;"*",숙직근무자!$H:$H,"평일", 숙직근무자!$K:$K,$B11)</f>
        <v>2</v>
      </c>
      <c r="D11" s="43">
        <f>COUNTIFS(숙직근무자!$I:$I,"*"&amp;$O$1&amp;"*",숙직근무자!$H:$H,"금요일", 숙직근무자!$J:$J,$B11)+COUNTIFS(숙직근무자!$I:$I,"*"&amp;$O$1&amp;"*",숙직근무자!$H:$H,"금요일", 숙직근무자!$K:$K,$B11)</f>
        <v>0</v>
      </c>
      <c r="E11" s="42">
        <f>COUNTIFS(숙직근무자!$I:$I,"*"&amp;$O$1&amp;"*",숙직근무자!$H:$H,"토요일", 숙직근무자!$J:$J,$B11)+COUNTIFS(숙직근무자!$I:$I,"*"&amp;$O$1&amp;"*",숙직근무자!$H:$H,"토요일", 숙직근무자!$K:$K,$B11)</f>
        <v>1</v>
      </c>
      <c r="F11" s="42">
        <f>COUNTIFS(숙직근무자!$I:$I,"*"&amp;$O$1&amp;"*",숙직근무자!$H:$H,"일요일", 숙직근무자!$J:$J,$B11)+COUNTIFS(숙직근무자!$I:$I,"*"&amp;$O$1&amp;"*",숙직근무자!$H:$H,"일요일", 숙직근무자!$K:$K,$B11)</f>
        <v>1</v>
      </c>
      <c r="G11" s="41">
        <f t="shared" si="1"/>
        <v>4</v>
      </c>
      <c r="H11" s="41">
        <f t="shared" si="2"/>
        <v>2</v>
      </c>
      <c r="I11" s="40"/>
      <c r="J11" s="39">
        <f t="shared" si="3"/>
        <v>3</v>
      </c>
      <c r="K11" s="38"/>
      <c r="L11" s="37" t="s">
        <v>52</v>
      </c>
    </row>
    <row r="12" spans="1:19" ht="30" customHeight="1" x14ac:dyDescent="0.3">
      <c r="A12" s="44">
        <f t="shared" si="0"/>
        <v>10</v>
      </c>
      <c r="B12" s="37" t="s">
        <v>64</v>
      </c>
      <c r="C12" s="43">
        <f>COUNTIFS(숙직근무자!$I:$I,"*"&amp;$O$1&amp;"*",숙직근무자!$H:$H,"평일", 숙직근무자!$J:$J,$B12)+COUNTIFS(숙직근무자!$I:$I,"*"&amp;$O$1&amp;"*",숙직근무자!$H:$H,"평일", 숙직근무자!$K:$K,$B12)</f>
        <v>2</v>
      </c>
      <c r="D12" s="43">
        <f>COUNTIFS(숙직근무자!$I:$I,"*"&amp;$O$1&amp;"*",숙직근무자!$H:$H,"금요일", 숙직근무자!$J:$J,$B12)+COUNTIFS(숙직근무자!$I:$I,"*"&amp;$O$1&amp;"*",숙직근무자!$H:$H,"금요일", 숙직근무자!$K:$K,$B12)</f>
        <v>1</v>
      </c>
      <c r="E12" s="42">
        <f>COUNTIFS(숙직근무자!$I:$I,"*"&amp;$O$1&amp;"*",숙직근무자!$H:$H,"토요일", 숙직근무자!$J:$J,$B12)+COUNTIFS(숙직근무자!$I:$I,"*"&amp;$O$1&amp;"*",숙직근무자!$H:$H,"토요일", 숙직근무자!$K:$K,$B12)</f>
        <v>1</v>
      </c>
      <c r="F12" s="42">
        <f>COUNTIFS(숙직근무자!$I:$I,"*"&amp;$O$1&amp;"*",숙직근무자!$H:$H,"일요일", 숙직근무자!$J:$J,$B12)+COUNTIFS(숙직근무자!$I:$I,"*"&amp;$O$1&amp;"*",숙직근무자!$H:$H,"일요일", 숙직근무자!$K:$K,$B12)</f>
        <v>1</v>
      </c>
      <c r="G12" s="41">
        <f t="shared" si="1"/>
        <v>5</v>
      </c>
      <c r="H12" s="41">
        <f t="shared" si="2"/>
        <v>2</v>
      </c>
      <c r="I12" s="40"/>
      <c r="J12" s="39">
        <f t="shared" si="3"/>
        <v>3</v>
      </c>
      <c r="K12" s="38"/>
      <c r="L12" s="37" t="s">
        <v>52</v>
      </c>
    </row>
    <row r="13" spans="1:19" ht="30" customHeight="1" x14ac:dyDescent="0.3">
      <c r="A13" s="44">
        <f t="shared" si="0"/>
        <v>11</v>
      </c>
      <c r="B13" s="37" t="s">
        <v>63</v>
      </c>
      <c r="C13" s="43">
        <f>COUNTIFS(숙직근무자!$I:$I,"*"&amp;$O$1&amp;"*",숙직근무자!$H:$H,"평일", 숙직근무자!$J:$J,$B13)+COUNTIFS(숙직근무자!$I:$I,"*"&amp;$O$1&amp;"*",숙직근무자!$H:$H,"평일", 숙직근무자!$K:$K,$B13)</f>
        <v>1</v>
      </c>
      <c r="D13" s="43">
        <f>COUNTIFS(숙직근무자!$I:$I,"*"&amp;$O$1&amp;"*",숙직근무자!$H:$H,"금요일", 숙직근무자!$J:$J,$B13)+COUNTIFS(숙직근무자!$I:$I,"*"&amp;$O$1&amp;"*",숙직근무자!$H:$H,"금요일", 숙직근무자!$K:$K,$B13)</f>
        <v>0</v>
      </c>
      <c r="E13" s="42">
        <f>COUNTIFS(숙직근무자!$I:$I,"*"&amp;$O$1&amp;"*",숙직근무자!$H:$H,"토요일", 숙직근무자!$J:$J,$B13)+COUNTIFS(숙직근무자!$I:$I,"*"&amp;$O$1&amp;"*",숙직근무자!$H:$H,"토요일", 숙직근무자!$K:$K,$B13)</f>
        <v>0</v>
      </c>
      <c r="F13" s="42">
        <f>COUNTIFS(숙직근무자!$I:$I,"*"&amp;$O$1&amp;"*",숙직근무자!$H:$H,"일요일", 숙직근무자!$J:$J,$B13)+COUNTIFS(숙직근무자!$I:$I,"*"&amp;$O$1&amp;"*",숙직근무자!$H:$H,"일요일", 숙직근무자!$K:$K,$B13)</f>
        <v>0</v>
      </c>
      <c r="G13" s="41">
        <f t="shared" si="1"/>
        <v>1</v>
      </c>
      <c r="H13" s="41">
        <f t="shared" si="2"/>
        <v>0</v>
      </c>
      <c r="I13" s="40"/>
      <c r="J13" s="39">
        <f t="shared" si="3"/>
        <v>1</v>
      </c>
      <c r="K13" s="38"/>
      <c r="L13" s="37" t="s">
        <v>52</v>
      </c>
    </row>
    <row r="14" spans="1:19" ht="30" customHeight="1" x14ac:dyDescent="0.3">
      <c r="A14" s="44">
        <f t="shared" si="0"/>
        <v>12</v>
      </c>
      <c r="B14" s="37" t="s">
        <v>62</v>
      </c>
      <c r="C14" s="43">
        <f>COUNTIFS(숙직근무자!$I:$I,"*"&amp;$O$1&amp;"*",숙직근무자!$H:$H,"평일", 숙직근무자!$J:$J,$B14)+COUNTIFS(숙직근무자!$I:$I,"*"&amp;$O$1&amp;"*",숙직근무자!$H:$H,"평일", 숙직근무자!$K:$K,$B14)</f>
        <v>2</v>
      </c>
      <c r="D14" s="43">
        <f>COUNTIFS(숙직근무자!$I:$I,"*"&amp;$O$1&amp;"*",숙직근무자!$H:$H,"금요일", 숙직근무자!$J:$J,$B14)+COUNTIFS(숙직근무자!$I:$I,"*"&amp;$O$1&amp;"*",숙직근무자!$H:$H,"금요일", 숙직근무자!$K:$K,$B14)</f>
        <v>1</v>
      </c>
      <c r="E14" s="42">
        <f>COUNTIFS(숙직근무자!$I:$I,"*"&amp;$O$1&amp;"*",숙직근무자!$H:$H,"토요일", 숙직근무자!$J:$J,$B14)+COUNTIFS(숙직근무자!$I:$I,"*"&amp;$O$1&amp;"*",숙직근무자!$H:$H,"토요일", 숙직근무자!$K:$K,$B14)</f>
        <v>1</v>
      </c>
      <c r="F14" s="42">
        <f>COUNTIFS(숙직근무자!$I:$I,"*"&amp;$O$1&amp;"*",숙직근무자!$H:$H,"일요일", 숙직근무자!$J:$J,$B14)+COUNTIFS(숙직근무자!$I:$I,"*"&amp;$O$1&amp;"*",숙직근무자!$H:$H,"일요일", 숙직근무자!$K:$K,$B14)</f>
        <v>0</v>
      </c>
      <c r="G14" s="41">
        <f t="shared" si="1"/>
        <v>4</v>
      </c>
      <c r="H14" s="41">
        <f t="shared" si="2"/>
        <v>1</v>
      </c>
      <c r="I14" s="40"/>
      <c r="J14" s="39">
        <f t="shared" si="3"/>
        <v>2</v>
      </c>
      <c r="K14" s="38"/>
      <c r="L14" s="37" t="s">
        <v>52</v>
      </c>
    </row>
    <row r="15" spans="1:19" ht="30" customHeight="1" x14ac:dyDescent="0.3">
      <c r="A15" s="44">
        <f t="shared" si="0"/>
        <v>13</v>
      </c>
      <c r="B15" s="37" t="s">
        <v>61</v>
      </c>
      <c r="C15" s="43">
        <f>COUNTIFS(숙직근무자!$I:$I,"*"&amp;$O$1&amp;"*",숙직근무자!$H:$H,"평일", 숙직근무자!$J:$J,$B15)+COUNTIFS(숙직근무자!$I:$I,"*"&amp;$O$1&amp;"*",숙직근무자!$H:$H,"평일", 숙직근무자!$K:$K,$B15)</f>
        <v>2</v>
      </c>
      <c r="D15" s="43">
        <f>COUNTIFS(숙직근무자!$I:$I,"*"&amp;$O$1&amp;"*",숙직근무자!$H:$H,"금요일", 숙직근무자!$J:$J,$B15)+COUNTIFS(숙직근무자!$I:$I,"*"&amp;$O$1&amp;"*",숙직근무자!$H:$H,"금요일", 숙직근무자!$K:$K,$B15)</f>
        <v>0</v>
      </c>
      <c r="E15" s="42">
        <f>COUNTIFS(숙직근무자!$I:$I,"*"&amp;$O$1&amp;"*",숙직근무자!$H:$H,"토요일", 숙직근무자!$J:$J,$B15)+COUNTIFS(숙직근무자!$I:$I,"*"&amp;$O$1&amp;"*",숙직근무자!$H:$H,"토요일", 숙직근무자!$K:$K,$B15)</f>
        <v>1</v>
      </c>
      <c r="F15" s="42">
        <f>COUNTIFS(숙직근무자!$I:$I,"*"&amp;$O$1&amp;"*",숙직근무자!$H:$H,"일요일", 숙직근무자!$J:$J,$B15)+COUNTIFS(숙직근무자!$I:$I,"*"&amp;$O$1&amp;"*",숙직근무자!$H:$H,"일요일", 숙직근무자!$K:$K,$B15)</f>
        <v>1</v>
      </c>
      <c r="G15" s="41">
        <f t="shared" si="1"/>
        <v>4</v>
      </c>
      <c r="H15" s="41">
        <f t="shared" si="2"/>
        <v>2</v>
      </c>
      <c r="I15" s="40"/>
      <c r="J15" s="39">
        <f t="shared" si="3"/>
        <v>3</v>
      </c>
      <c r="K15" s="38"/>
      <c r="L15" s="37" t="s">
        <v>52</v>
      </c>
    </row>
    <row r="16" spans="1:19" ht="30" customHeight="1" x14ac:dyDescent="0.3">
      <c r="A16" s="44">
        <f t="shared" si="0"/>
        <v>14</v>
      </c>
      <c r="B16" s="37" t="s">
        <v>60</v>
      </c>
      <c r="C16" s="43">
        <f>COUNTIFS(숙직근무자!$I:$I,"*"&amp;$O$1&amp;"*",숙직근무자!$H:$H,"평일", 숙직근무자!$J:$J,$B16)+COUNTIFS(숙직근무자!$I:$I,"*"&amp;$O$1&amp;"*",숙직근무자!$H:$H,"평일", 숙직근무자!$K:$K,$B16)</f>
        <v>2</v>
      </c>
      <c r="D16" s="43">
        <f>COUNTIFS(숙직근무자!$I:$I,"*"&amp;$O$1&amp;"*",숙직근무자!$H:$H,"금요일", 숙직근무자!$J:$J,$B16)+COUNTIFS(숙직근무자!$I:$I,"*"&amp;$O$1&amp;"*",숙직근무자!$H:$H,"금요일", 숙직근무자!$K:$K,$B16)</f>
        <v>0</v>
      </c>
      <c r="E16" s="42">
        <f>COUNTIFS(숙직근무자!$I:$I,"*"&amp;$O$1&amp;"*",숙직근무자!$H:$H,"토요일", 숙직근무자!$J:$J,$B16)+COUNTIFS(숙직근무자!$I:$I,"*"&amp;$O$1&amp;"*",숙직근무자!$H:$H,"토요일", 숙직근무자!$K:$K,$B16)</f>
        <v>1</v>
      </c>
      <c r="F16" s="42">
        <f>COUNTIFS(숙직근무자!$I:$I,"*"&amp;$O$1&amp;"*",숙직근무자!$H:$H,"일요일", 숙직근무자!$J:$J,$B16)+COUNTIFS(숙직근무자!$I:$I,"*"&amp;$O$1&amp;"*",숙직근무자!$H:$H,"일요일", 숙직근무자!$K:$K,$B16)</f>
        <v>0</v>
      </c>
      <c r="G16" s="41">
        <f t="shared" si="1"/>
        <v>3</v>
      </c>
      <c r="H16" s="41">
        <f t="shared" si="2"/>
        <v>1</v>
      </c>
      <c r="I16" s="40"/>
      <c r="J16" s="39">
        <f t="shared" si="3"/>
        <v>2</v>
      </c>
      <c r="K16" s="38"/>
      <c r="L16" s="37" t="s">
        <v>52</v>
      </c>
    </row>
    <row r="17" spans="1:12" ht="30" customHeight="1" x14ac:dyDescent="0.3">
      <c r="A17" s="44">
        <f t="shared" si="0"/>
        <v>15</v>
      </c>
      <c r="B17" s="37" t="s">
        <v>59</v>
      </c>
      <c r="C17" s="43">
        <f>COUNTIFS(숙직근무자!$I:$I,"*"&amp;$O$1&amp;"*",숙직근무자!$H:$H,"평일", 숙직근무자!$J:$J,$B17)+COUNTIFS(숙직근무자!$I:$I,"*"&amp;$O$1&amp;"*",숙직근무자!$H:$H,"평일", 숙직근무자!$K:$K,$B17)</f>
        <v>0</v>
      </c>
      <c r="D17" s="43">
        <f>COUNTIFS(숙직근무자!$I:$I,"*"&amp;$O$1&amp;"*",숙직근무자!$H:$H,"금요일", 숙직근무자!$J:$J,$B17)+COUNTIFS(숙직근무자!$I:$I,"*"&amp;$O$1&amp;"*",숙직근무자!$H:$H,"금요일", 숙직근무자!$K:$K,$B17)</f>
        <v>0</v>
      </c>
      <c r="E17" s="42">
        <f>COUNTIFS(숙직근무자!$I:$I,"*"&amp;$O$1&amp;"*",숙직근무자!$H:$H,"토요일", 숙직근무자!$J:$J,$B17)+COUNTIFS(숙직근무자!$I:$I,"*"&amp;$O$1&amp;"*",숙직근무자!$H:$H,"토요일", 숙직근무자!$K:$K,$B17)</f>
        <v>0</v>
      </c>
      <c r="F17" s="42">
        <f>COUNTIFS(숙직근무자!$I:$I,"*"&amp;$O$1&amp;"*",숙직근무자!$H:$H,"일요일", 숙직근무자!$J:$J,$B17)+COUNTIFS(숙직근무자!$I:$I,"*"&amp;$O$1&amp;"*",숙직근무자!$H:$H,"일요일", 숙직근무자!$K:$K,$B17)</f>
        <v>0</v>
      </c>
      <c r="G17" s="41">
        <f t="shared" si="1"/>
        <v>0</v>
      </c>
      <c r="H17" s="41">
        <f t="shared" si="2"/>
        <v>0</v>
      </c>
      <c r="I17" s="40"/>
      <c r="J17" s="39">
        <f t="shared" si="3"/>
        <v>0</v>
      </c>
      <c r="K17" s="38"/>
      <c r="L17" s="37" t="s">
        <v>52</v>
      </c>
    </row>
    <row r="18" spans="1:12" ht="30" customHeight="1" x14ac:dyDescent="0.3">
      <c r="A18" s="44">
        <f t="shared" si="0"/>
        <v>16</v>
      </c>
      <c r="B18" s="37" t="s">
        <v>58</v>
      </c>
      <c r="C18" s="43">
        <f>COUNTIFS(숙직근무자!$I:$I,"*"&amp;$O$1&amp;"*",숙직근무자!$H:$H,"평일", 숙직근무자!$J:$J,$B18)+COUNTIFS(숙직근무자!$I:$I,"*"&amp;$O$1&amp;"*",숙직근무자!$H:$H,"평일", 숙직근무자!$K:$K,$B18)</f>
        <v>3</v>
      </c>
      <c r="D18" s="43">
        <f>COUNTIFS(숙직근무자!$I:$I,"*"&amp;$O$1&amp;"*",숙직근무자!$H:$H,"금요일", 숙직근무자!$J:$J,$B18)+COUNTIFS(숙직근무자!$I:$I,"*"&amp;$O$1&amp;"*",숙직근무자!$H:$H,"금요일", 숙직근무자!$K:$K,$B18)</f>
        <v>0</v>
      </c>
      <c r="E18" s="42">
        <f>COUNTIFS(숙직근무자!$I:$I,"*"&amp;$O$1&amp;"*",숙직근무자!$H:$H,"토요일", 숙직근무자!$J:$J,$B18)+COUNTIFS(숙직근무자!$I:$I,"*"&amp;$O$1&amp;"*",숙직근무자!$H:$H,"토요일", 숙직근무자!$K:$K,$B18)</f>
        <v>1</v>
      </c>
      <c r="F18" s="42">
        <f>COUNTIFS(숙직근무자!$I:$I,"*"&amp;$O$1&amp;"*",숙직근무자!$H:$H,"일요일", 숙직근무자!$J:$J,$B18)+COUNTIFS(숙직근무자!$I:$I,"*"&amp;$O$1&amp;"*",숙직근무자!$H:$H,"일요일", 숙직근무자!$K:$K,$B18)</f>
        <v>1</v>
      </c>
      <c r="G18" s="41">
        <f t="shared" si="1"/>
        <v>5</v>
      </c>
      <c r="H18" s="41">
        <f t="shared" si="2"/>
        <v>2</v>
      </c>
      <c r="I18" s="40"/>
      <c r="J18" s="39">
        <f t="shared" si="3"/>
        <v>4</v>
      </c>
      <c r="K18" s="38"/>
      <c r="L18" s="37" t="s">
        <v>52</v>
      </c>
    </row>
    <row r="19" spans="1:12" ht="30" customHeight="1" x14ac:dyDescent="0.3">
      <c r="A19" s="44">
        <f t="shared" si="0"/>
        <v>17</v>
      </c>
      <c r="B19" s="37" t="s">
        <v>57</v>
      </c>
      <c r="C19" s="43">
        <f>COUNTIFS(숙직근무자!$I:$I,"*"&amp;$O$1&amp;"*",숙직근무자!$H:$H,"평일", 숙직근무자!$J:$J,$B19)+COUNTIFS(숙직근무자!$I:$I,"*"&amp;$O$1&amp;"*",숙직근무자!$H:$H,"평일", 숙직근무자!$K:$K,$B19)</f>
        <v>2</v>
      </c>
      <c r="D19" s="43">
        <f>COUNTIFS(숙직근무자!$I:$I,"*"&amp;$O$1&amp;"*",숙직근무자!$H:$H,"금요일", 숙직근무자!$J:$J,$B19)+COUNTIFS(숙직근무자!$I:$I,"*"&amp;$O$1&amp;"*",숙직근무자!$H:$H,"금요일", 숙직근무자!$K:$K,$B19)</f>
        <v>0</v>
      </c>
      <c r="E19" s="42">
        <f>COUNTIFS(숙직근무자!$I:$I,"*"&amp;$O$1&amp;"*",숙직근무자!$H:$H,"토요일", 숙직근무자!$J:$J,$B19)+COUNTIFS(숙직근무자!$I:$I,"*"&amp;$O$1&amp;"*",숙직근무자!$H:$H,"토요일", 숙직근무자!$K:$K,$B19)</f>
        <v>1</v>
      </c>
      <c r="F19" s="42">
        <f>COUNTIFS(숙직근무자!$I:$I,"*"&amp;$O$1&amp;"*",숙직근무자!$H:$H,"일요일", 숙직근무자!$J:$J,$B19)+COUNTIFS(숙직근무자!$I:$I,"*"&amp;$O$1&amp;"*",숙직근무자!$H:$H,"일요일", 숙직근무자!$K:$K,$B19)</f>
        <v>0</v>
      </c>
      <c r="G19" s="41">
        <f t="shared" si="1"/>
        <v>3</v>
      </c>
      <c r="H19" s="41">
        <f t="shared" si="2"/>
        <v>1</v>
      </c>
      <c r="I19" s="40"/>
      <c r="J19" s="39">
        <f t="shared" si="3"/>
        <v>2</v>
      </c>
      <c r="K19" s="38"/>
      <c r="L19" s="37" t="s">
        <v>52</v>
      </c>
    </row>
    <row r="20" spans="1:12" ht="30" customHeight="1" x14ac:dyDescent="0.3">
      <c r="A20" s="44">
        <f t="shared" si="0"/>
        <v>18</v>
      </c>
      <c r="B20" s="37" t="s">
        <v>56</v>
      </c>
      <c r="C20" s="43">
        <f>COUNTIFS(숙직근무자!$I:$I,"*"&amp;$O$1&amp;"*",숙직근무자!$H:$H,"평일", 숙직근무자!$J:$J,$B20)+COUNTIFS(숙직근무자!$I:$I,"*"&amp;$O$1&amp;"*",숙직근무자!$H:$H,"평일", 숙직근무자!$K:$K,$B20)</f>
        <v>2</v>
      </c>
      <c r="D20" s="43">
        <f>COUNTIFS(숙직근무자!$I:$I,"*"&amp;$O$1&amp;"*",숙직근무자!$H:$H,"금요일", 숙직근무자!$J:$J,$B20)+COUNTIFS(숙직근무자!$I:$I,"*"&amp;$O$1&amp;"*",숙직근무자!$H:$H,"금요일", 숙직근무자!$K:$K,$B20)</f>
        <v>1</v>
      </c>
      <c r="E20" s="42">
        <f>COUNTIFS(숙직근무자!$I:$I,"*"&amp;$O$1&amp;"*",숙직근무자!$H:$H,"토요일", 숙직근무자!$J:$J,$B20)+COUNTIFS(숙직근무자!$I:$I,"*"&amp;$O$1&amp;"*",숙직근무자!$H:$H,"토요일", 숙직근무자!$K:$K,$B20)</f>
        <v>1</v>
      </c>
      <c r="F20" s="42">
        <f>COUNTIFS(숙직근무자!$I:$I,"*"&amp;$O$1&amp;"*",숙직근무자!$H:$H,"일요일", 숙직근무자!$J:$J,$B20)+COUNTIFS(숙직근무자!$I:$I,"*"&amp;$O$1&amp;"*",숙직근무자!$H:$H,"일요일", 숙직근무자!$K:$K,$B20)</f>
        <v>0</v>
      </c>
      <c r="G20" s="41">
        <f t="shared" si="1"/>
        <v>4</v>
      </c>
      <c r="H20" s="41">
        <f t="shared" si="2"/>
        <v>1</v>
      </c>
      <c r="I20" s="40"/>
      <c r="J20" s="39">
        <f t="shared" si="3"/>
        <v>2</v>
      </c>
      <c r="K20" s="38"/>
      <c r="L20" s="37" t="s">
        <v>52</v>
      </c>
    </row>
    <row r="21" spans="1:12" ht="30" customHeight="1" x14ac:dyDescent="0.3">
      <c r="A21" s="44">
        <f t="shared" si="0"/>
        <v>19</v>
      </c>
      <c r="B21" s="37" t="s">
        <v>55</v>
      </c>
      <c r="C21" s="43">
        <f>COUNTIFS(숙직근무자!$I:$I,"*"&amp;$O$1&amp;"*",숙직근무자!$H:$H,"평일", 숙직근무자!$J:$J,$B21)+COUNTIFS(숙직근무자!$I:$I,"*"&amp;$O$1&amp;"*",숙직근무자!$H:$H,"평일", 숙직근무자!$K:$K,$B21)</f>
        <v>3</v>
      </c>
      <c r="D21" s="43">
        <f>COUNTIFS(숙직근무자!$I:$I,"*"&amp;$O$1&amp;"*",숙직근무자!$H:$H,"금요일", 숙직근무자!$J:$J,$B21)+COUNTIFS(숙직근무자!$I:$I,"*"&amp;$O$1&amp;"*",숙직근무자!$H:$H,"금요일", 숙직근무자!$K:$K,$B21)</f>
        <v>0</v>
      </c>
      <c r="E21" s="42">
        <f>COUNTIFS(숙직근무자!$I:$I,"*"&amp;$O$1&amp;"*",숙직근무자!$H:$H,"토요일", 숙직근무자!$J:$J,$B21)+COUNTIFS(숙직근무자!$I:$I,"*"&amp;$O$1&amp;"*",숙직근무자!$H:$H,"토요일", 숙직근무자!$K:$K,$B21)</f>
        <v>1</v>
      </c>
      <c r="F21" s="42">
        <f>COUNTIFS(숙직근무자!$I:$I,"*"&amp;$O$1&amp;"*",숙직근무자!$H:$H,"일요일", 숙직근무자!$J:$J,$B21)+COUNTIFS(숙직근무자!$I:$I,"*"&amp;$O$1&amp;"*",숙직근무자!$H:$H,"일요일", 숙직근무자!$K:$K,$B21)</f>
        <v>0</v>
      </c>
      <c r="G21" s="41">
        <f t="shared" si="1"/>
        <v>4</v>
      </c>
      <c r="H21" s="41">
        <f t="shared" si="2"/>
        <v>1</v>
      </c>
      <c r="I21" s="40"/>
      <c r="J21" s="39">
        <f t="shared" si="3"/>
        <v>3</v>
      </c>
      <c r="K21" s="38"/>
      <c r="L21" s="37" t="s">
        <v>52</v>
      </c>
    </row>
    <row r="22" spans="1:12" ht="30" customHeight="1" x14ac:dyDescent="0.3">
      <c r="A22" s="44">
        <f t="shared" si="0"/>
        <v>20</v>
      </c>
      <c r="B22" s="37" t="s">
        <v>54</v>
      </c>
      <c r="C22" s="43">
        <f>COUNTIFS(숙직근무자!$I:$I,"*"&amp;$O$1&amp;"*",숙직근무자!$H:$H,"평일", 숙직근무자!$J:$J,$B22)+COUNTIFS(숙직근무자!$I:$I,"*"&amp;$O$1&amp;"*",숙직근무자!$H:$H,"평일", 숙직근무자!$K:$K,$B22)</f>
        <v>2</v>
      </c>
      <c r="D22" s="43">
        <f>COUNTIFS(숙직근무자!$I:$I,"*"&amp;$O$1&amp;"*",숙직근무자!$H:$H,"금요일", 숙직근무자!$J:$J,$B22)+COUNTIFS(숙직근무자!$I:$I,"*"&amp;$O$1&amp;"*",숙직근무자!$H:$H,"금요일", 숙직근무자!$K:$K,$B22)</f>
        <v>0</v>
      </c>
      <c r="E22" s="42">
        <f>COUNTIFS(숙직근무자!$I:$I,"*"&amp;$O$1&amp;"*",숙직근무자!$H:$H,"토요일", 숙직근무자!$J:$J,$B22)+COUNTIFS(숙직근무자!$I:$I,"*"&amp;$O$1&amp;"*",숙직근무자!$H:$H,"토요일", 숙직근무자!$K:$K,$B22)</f>
        <v>1</v>
      </c>
      <c r="F22" s="42">
        <f>COUNTIFS(숙직근무자!$I:$I,"*"&amp;$O$1&amp;"*",숙직근무자!$H:$H,"일요일", 숙직근무자!$J:$J,$B22)+COUNTIFS(숙직근무자!$I:$I,"*"&amp;$O$1&amp;"*",숙직근무자!$H:$H,"일요일", 숙직근무자!$K:$K,$B22)</f>
        <v>1</v>
      </c>
      <c r="G22" s="41">
        <f t="shared" si="1"/>
        <v>4</v>
      </c>
      <c r="H22" s="41">
        <f t="shared" si="2"/>
        <v>2</v>
      </c>
      <c r="I22" s="40"/>
      <c r="J22" s="39">
        <f t="shared" si="3"/>
        <v>3</v>
      </c>
      <c r="K22" s="38"/>
      <c r="L22" s="37" t="s">
        <v>52</v>
      </c>
    </row>
    <row r="23" spans="1:12" ht="30" customHeight="1" x14ac:dyDescent="0.3">
      <c r="A23" s="44">
        <f t="shared" si="0"/>
        <v>21</v>
      </c>
      <c r="B23" s="37" t="s">
        <v>53</v>
      </c>
      <c r="C23" s="43">
        <f>COUNTIFS(숙직근무자!$I:$I,"*"&amp;$O$1&amp;"*",숙직근무자!$H:$H,"평일", 숙직근무자!$J:$J,$B23)+COUNTIFS(숙직근무자!$I:$I,"*"&amp;$O$1&amp;"*",숙직근무자!$H:$H,"평일", 숙직근무자!$K:$K,$B23)</f>
        <v>0</v>
      </c>
      <c r="D23" s="43">
        <f>COUNTIFS(숙직근무자!$I:$I,"*"&amp;$O$1&amp;"*",숙직근무자!$H:$H,"금요일", 숙직근무자!$J:$J,$B23)+COUNTIFS(숙직근무자!$I:$I,"*"&amp;$O$1&amp;"*",숙직근무자!$H:$H,"금요일", 숙직근무자!$K:$K,$B23)</f>
        <v>3</v>
      </c>
      <c r="E23" s="42">
        <f>COUNTIFS(숙직근무자!$I:$I,"*"&amp;$O$1&amp;"*",숙직근무자!$H:$H,"토요일", 숙직근무자!$J:$J,$B23)+COUNTIFS(숙직근무자!$I:$I,"*"&amp;$O$1&amp;"*",숙직근무자!$H:$H,"토요일", 숙직근무자!$K:$K,$B23)</f>
        <v>0</v>
      </c>
      <c r="F23" s="42">
        <f>COUNTIFS(숙직근무자!$I:$I,"*"&amp;$O$1&amp;"*",숙직근무자!$H:$H,"일요일", 숙직근무자!$J:$J,$B23)+COUNTIFS(숙직근무자!$I:$I,"*"&amp;$O$1&amp;"*",숙직근무자!$H:$H,"일요일", 숙직근무자!$K:$K,$B23)</f>
        <v>1</v>
      </c>
      <c r="G23" s="41">
        <f t="shared" si="1"/>
        <v>4</v>
      </c>
      <c r="H23" s="41">
        <f t="shared" si="2"/>
        <v>1</v>
      </c>
      <c r="I23" s="40"/>
      <c r="J23" s="39">
        <f t="shared" si="3"/>
        <v>1</v>
      </c>
      <c r="K23" s="38"/>
      <c r="L23" s="37" t="s">
        <v>52</v>
      </c>
    </row>
    <row r="24" spans="1:12" ht="30" customHeight="1" x14ac:dyDescent="0.3">
      <c r="A24" s="44">
        <f t="shared" si="0"/>
        <v>22</v>
      </c>
      <c r="B24" s="121" t="s">
        <v>144</v>
      </c>
      <c r="C24" s="43">
        <f>COUNTIFS(숙직근무자!$I:$I,"*"&amp;$O$1&amp;"*",숙직근무자!$H:$H,"평일", 숙직근무자!$J:$J,$B24)+COUNTIFS(숙직근무자!$I:$I,"*"&amp;$O$1&amp;"*",숙직근무자!$H:$H,"평일", 숙직근무자!$K:$K,$B24)</f>
        <v>3</v>
      </c>
      <c r="D24" s="43">
        <f>COUNTIFS(숙직근무자!$I:$I,"*"&amp;$O$1&amp;"*",숙직근무자!$H:$H,"금요일", 숙직근무자!$J:$J,$B24)+COUNTIFS(숙직근무자!$I:$I,"*"&amp;$O$1&amp;"*",숙직근무자!$H:$H,"금요일", 숙직근무자!$K:$K,$B24)</f>
        <v>0</v>
      </c>
      <c r="E24" s="42">
        <f>COUNTIFS(숙직근무자!$I:$I,"*"&amp;$O$1&amp;"*",숙직근무자!$H:$H,"토요일", 숙직근무자!$J:$J,$B24)+COUNTIFS(숙직근무자!$I:$I,"*"&amp;$O$1&amp;"*",숙직근무자!$H:$H,"토요일", 숙직근무자!$K:$K,$B24)</f>
        <v>0</v>
      </c>
      <c r="F24" s="42">
        <f>COUNTIFS(숙직근무자!$I:$I,"*"&amp;$O$1&amp;"*",숙직근무자!$H:$H,"일요일", 숙직근무자!$J:$J,$B24)+COUNTIFS(숙직근무자!$I:$I,"*"&amp;$O$1&amp;"*",숙직근무자!$H:$H,"일요일", 숙직근무자!$K:$K,$B24)</f>
        <v>0</v>
      </c>
      <c r="G24" s="41">
        <f t="shared" ref="G24" si="4">SUM(C24:F24)</f>
        <v>3</v>
      </c>
      <c r="H24" s="41">
        <f t="shared" ref="H24" si="5">SUM(E24:F24)</f>
        <v>0</v>
      </c>
      <c r="I24" s="40"/>
      <c r="J24" s="122">
        <f t="shared" ref="J24" si="6">C24+F24</f>
        <v>3</v>
      </c>
      <c r="K24" s="38"/>
      <c r="L24" s="121" t="s">
        <v>52</v>
      </c>
    </row>
    <row r="25" spans="1:12" ht="30" customHeight="1" x14ac:dyDescent="0.3">
      <c r="A25" s="160" t="s">
        <v>51</v>
      </c>
      <c r="B25" s="161"/>
      <c r="C25" s="160">
        <f>SUM(C3:C24,D3:D24)</f>
        <v>40</v>
      </c>
      <c r="D25" s="162"/>
      <c r="E25" s="160">
        <f>SUM(E3:E24,F3:F24)</f>
        <v>20</v>
      </c>
      <c r="F25" s="162"/>
      <c r="G25" s="37">
        <f>SUM(G3:G24)</f>
        <v>60</v>
      </c>
      <c r="H25" s="37">
        <f>SUM(H3:H24)</f>
        <v>20</v>
      </c>
      <c r="I25" s="36"/>
      <c r="J25" s="37">
        <f>SUM(J3:J24)</f>
        <v>40</v>
      </c>
      <c r="K25" s="37">
        <f>SUM(K6:K23)</f>
        <v>0</v>
      </c>
      <c r="L25" s="36"/>
    </row>
  </sheetData>
  <mergeCells count="4">
    <mergeCell ref="A1:L1"/>
    <mergeCell ref="A25:B25"/>
    <mergeCell ref="C25:D25"/>
    <mergeCell ref="E25:F25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2236-AE4E-4FB6-BF72-94F9D5667F09}">
  <sheetPr>
    <pageSetUpPr fitToPage="1"/>
  </sheetPr>
  <dimension ref="A1:W25"/>
  <sheetViews>
    <sheetView view="pageBreakPreview" zoomScale="85" zoomScaleNormal="100" zoomScaleSheetLayoutView="85" workbookViewId="0">
      <pane xSplit="4" ySplit="2" topLeftCell="E9" activePane="bottomRight" state="frozen"/>
      <selection pane="topRight" activeCell="E1" sqref="E1"/>
      <selection pane="bottomLeft" activeCell="A4" sqref="A4"/>
      <selection pane="bottomRight" activeCell="G20" sqref="G20"/>
    </sheetView>
  </sheetViews>
  <sheetFormatPr defaultRowHeight="14.25" customHeight="1" x14ac:dyDescent="0.3"/>
  <cols>
    <col min="1" max="2" width="6" style="48" bestFit="1" customWidth="1"/>
    <col min="3" max="3" width="15" style="48" customWidth="1"/>
    <col min="4" max="4" width="7.375" style="48" bestFit="1" customWidth="1"/>
    <col min="5" max="5" width="11.375" style="48" customWidth="1"/>
    <col min="6" max="6" width="9.375" style="48" bestFit="1" customWidth="1"/>
    <col min="7" max="7" width="17" style="48" customWidth="1"/>
    <col min="8" max="8" width="17.875" style="48" customWidth="1"/>
    <col min="9" max="9" width="9.75" style="48" customWidth="1"/>
    <col min="10" max="10" width="16.625" style="48" customWidth="1"/>
    <col min="11" max="11" width="8.125" style="48" bestFit="1" customWidth="1"/>
    <col min="12" max="12" width="8" style="48" customWidth="1"/>
    <col min="13" max="13" width="19.375" style="48" customWidth="1"/>
    <col min="14" max="14" width="25.75" style="48" customWidth="1"/>
    <col min="15" max="15" width="10" style="48" customWidth="1"/>
    <col min="16" max="16" width="9.25" style="48" customWidth="1"/>
    <col min="17" max="17" width="9.125" style="48" customWidth="1"/>
    <col min="18" max="18" width="9.375" style="48" customWidth="1"/>
    <col min="19" max="19" width="10" style="48" customWidth="1"/>
    <col min="20" max="16384" width="9" style="48"/>
  </cols>
  <sheetData>
    <row r="1" spans="1:23" ht="30.75" customHeight="1" x14ac:dyDescent="0.3">
      <c r="A1" s="164" t="s">
        <v>87</v>
      </c>
      <c r="B1" s="164" t="s">
        <v>88</v>
      </c>
      <c r="C1" s="164" t="s">
        <v>89</v>
      </c>
      <c r="D1" s="164" t="s">
        <v>90</v>
      </c>
      <c r="E1" s="164" t="str">
        <f>TEXT('야근횟수&amp;비번'!O1,"mm")&amp;"월 시간외 근무수당"</f>
        <v>09월 시간외 근무수당</v>
      </c>
      <c r="F1" s="164"/>
      <c r="G1" s="164"/>
      <c r="H1" s="164"/>
      <c r="I1" s="164"/>
      <c r="J1" s="164"/>
      <c r="K1" s="123"/>
      <c r="L1" s="163" t="s">
        <v>79</v>
      </c>
      <c r="M1" s="163" t="s">
        <v>91</v>
      </c>
      <c r="N1" s="164" t="s">
        <v>92</v>
      </c>
      <c r="O1" s="165" t="s">
        <v>93</v>
      </c>
      <c r="P1" s="165"/>
      <c r="Q1" s="165"/>
      <c r="R1" s="166"/>
    </row>
    <row r="2" spans="1:23" ht="47.25" customHeight="1" x14ac:dyDescent="0.3">
      <c r="A2" s="164"/>
      <c r="B2" s="164"/>
      <c r="C2" s="164"/>
      <c r="D2" s="164"/>
      <c r="E2" s="123" t="s">
        <v>94</v>
      </c>
      <c r="F2" s="123" t="s">
        <v>95</v>
      </c>
      <c r="G2" s="123" t="s">
        <v>96</v>
      </c>
      <c r="H2" s="123" t="s">
        <v>97</v>
      </c>
      <c r="I2" s="123" t="s">
        <v>98</v>
      </c>
      <c r="J2" s="123" t="s">
        <v>99</v>
      </c>
      <c r="K2" s="123" t="s">
        <v>100</v>
      </c>
      <c r="L2" s="163"/>
      <c r="M2" s="163"/>
      <c r="N2" s="164"/>
      <c r="O2" s="49" t="s">
        <v>101</v>
      </c>
      <c r="P2" s="47" t="s">
        <v>102</v>
      </c>
      <c r="Q2" s="47" t="s">
        <v>103</v>
      </c>
      <c r="R2" s="47" t="s">
        <v>104</v>
      </c>
    </row>
    <row r="3" spans="1:23" ht="30" customHeight="1" x14ac:dyDescent="0.3">
      <c r="A3" s="124">
        <f>ROW(A3)-ROW($A$2)</f>
        <v>1</v>
      </c>
      <c r="B3" s="51" t="s">
        <v>105</v>
      </c>
      <c r="C3" s="51" t="s">
        <v>73</v>
      </c>
      <c r="D3" s="52" t="s">
        <v>74</v>
      </c>
      <c r="E3" s="53">
        <f>COUNTIFS(중식!$B:$B,D3)+COUNTIFS(중식!$C:$C,D3)</f>
        <v>0</v>
      </c>
      <c r="F3" s="54"/>
      <c r="G3" s="53">
        <f t="shared" ref="G3:G25" si="0">SUM(O3*7+P3*15+Q3*15+R3*7)</f>
        <v>0</v>
      </c>
      <c r="H3" s="53">
        <f t="shared" ref="H3:H25" si="1">SUM(E3:G3)</f>
        <v>0</v>
      </c>
      <c r="I3" s="53"/>
      <c r="J3" s="53">
        <f t="shared" ref="J3:J25" si="2">IF((H3-I3)&lt;0,0,(H3-I3))</f>
        <v>0</v>
      </c>
      <c r="K3" s="55">
        <f>VLOOKUP($D3,'야근횟수&amp;비번'!$B$3:$L$24,6,0)</f>
        <v>0</v>
      </c>
      <c r="L3" s="55">
        <f>VLOOKUP($D3,'야근횟수&amp;비번'!$B$3:$L$24,7,0)</f>
        <v>0</v>
      </c>
      <c r="M3" s="55" t="str">
        <f>VLOOKUP($D3,'야근횟수&amp;비번'!$B$3:$L$24,11,0)</f>
        <v>부이사관</v>
      </c>
      <c r="N3" s="56"/>
      <c r="O3" s="57">
        <f>VLOOKUP($D3,'야근횟수&amp;비번'!$B$3:$L$24,2,0)</f>
        <v>0</v>
      </c>
      <c r="P3" s="57">
        <f>VLOOKUP($D3,'야근횟수&amp;비번'!$B$3:$L$24,3,0)</f>
        <v>0</v>
      </c>
      <c r="Q3" s="57">
        <f>VLOOKUP($D3,'야근횟수&amp;비번'!$B$3:$L$24,4,0)</f>
        <v>0</v>
      </c>
      <c r="R3" s="57">
        <f>VLOOKUP($D3,'야근횟수&amp;비번'!$B$3:$L$24,5,0)</f>
        <v>0</v>
      </c>
    </row>
    <row r="4" spans="1:23" ht="30" customHeight="1" x14ac:dyDescent="0.3">
      <c r="A4" s="124">
        <f t="shared" ref="A4:A24" si="3">ROW(A4)-ROW($A$2)</f>
        <v>2</v>
      </c>
      <c r="B4" s="51" t="s">
        <v>105</v>
      </c>
      <c r="C4" s="51" t="s">
        <v>71</v>
      </c>
      <c r="D4" s="52" t="s">
        <v>72</v>
      </c>
      <c r="E4" s="53">
        <f>COUNTIFS(중식!$B:$B,D4)+COUNTIFS(중식!$C:$C,D4)</f>
        <v>0</v>
      </c>
      <c r="F4" s="54"/>
      <c r="G4" s="53">
        <f t="shared" si="0"/>
        <v>0</v>
      </c>
      <c r="H4" s="53">
        <f t="shared" si="1"/>
        <v>0</v>
      </c>
      <c r="I4" s="53"/>
      <c r="J4" s="53">
        <f t="shared" si="2"/>
        <v>0</v>
      </c>
      <c r="K4" s="55">
        <f>VLOOKUP($D4,'야근횟수&amp;비번'!$B$3:$L$24,6,0)</f>
        <v>0</v>
      </c>
      <c r="L4" s="55">
        <f>VLOOKUP($D4,'야근횟수&amp;비번'!$B$3:$L$24,7,0)</f>
        <v>0</v>
      </c>
      <c r="M4" s="55" t="str">
        <f>VLOOKUP($D4,'야근횟수&amp;비번'!$B$3:$L$24,11,0)</f>
        <v>과학기술서기관</v>
      </c>
      <c r="N4" s="56"/>
      <c r="O4" s="57">
        <f>VLOOKUP($D4,'야근횟수&amp;비번'!$B$3:$L$24,2,0)</f>
        <v>0</v>
      </c>
      <c r="P4" s="57">
        <f>VLOOKUP($D4,'야근횟수&amp;비번'!$B$3:$L$24,3,0)</f>
        <v>0</v>
      </c>
      <c r="Q4" s="57">
        <f>VLOOKUP($D4,'야근횟수&amp;비번'!$B$3:$L$24,4,0)</f>
        <v>0</v>
      </c>
      <c r="R4" s="57">
        <f>VLOOKUP($D4,'야근횟수&amp;비번'!$B$3:$L$24,5,0)</f>
        <v>0</v>
      </c>
    </row>
    <row r="5" spans="1:23" ht="30" customHeight="1" x14ac:dyDescent="0.3">
      <c r="A5" s="124">
        <f t="shared" si="3"/>
        <v>3</v>
      </c>
      <c r="B5" s="51" t="s">
        <v>105</v>
      </c>
      <c r="C5" s="51" t="s">
        <v>106</v>
      </c>
      <c r="D5" s="52" t="s">
        <v>70</v>
      </c>
      <c r="E5" s="53">
        <f>COUNTIFS(중식!$B:$B,D5)+COUNTIFS(중식!$C:$C,D5)</f>
        <v>0</v>
      </c>
      <c r="F5" s="54"/>
      <c r="G5" s="53">
        <f t="shared" si="0"/>
        <v>0</v>
      </c>
      <c r="H5" s="53">
        <f t="shared" si="1"/>
        <v>0</v>
      </c>
      <c r="I5" s="53"/>
      <c r="J5" s="53">
        <f t="shared" si="2"/>
        <v>0</v>
      </c>
      <c r="K5" s="55">
        <f>VLOOKUP($D5,'야근횟수&amp;비번'!$B$3:$L$24,6,0)</f>
        <v>0</v>
      </c>
      <c r="L5" s="55">
        <f>VLOOKUP($D5,'야근횟수&amp;비번'!$B$3:$L$24,7,0)</f>
        <v>0</v>
      </c>
      <c r="M5" s="55">
        <f>VLOOKUP($D5,'야근횟수&amp;비번'!$B$3:$L$24,11,0)</f>
        <v>0</v>
      </c>
      <c r="N5" s="56"/>
      <c r="O5" s="57">
        <f>VLOOKUP($D5,'야근횟수&amp;비번'!$B$3:$L$24,2,0)</f>
        <v>0</v>
      </c>
      <c r="P5" s="57">
        <f>VLOOKUP($D5,'야근횟수&amp;비번'!$B$3:$L$24,3,0)</f>
        <v>0</v>
      </c>
      <c r="Q5" s="57">
        <f>VLOOKUP($D5,'야근횟수&amp;비번'!$B$3:$L$24,4,0)</f>
        <v>0</v>
      </c>
      <c r="R5" s="57">
        <f>VLOOKUP($D5,'야근횟수&amp;비번'!$B$3:$L$24,5,0)</f>
        <v>0</v>
      </c>
    </row>
    <row r="6" spans="1:23" ht="30" customHeight="1" x14ac:dyDescent="0.3">
      <c r="A6" s="124">
        <f t="shared" si="3"/>
        <v>4</v>
      </c>
      <c r="B6" s="51" t="s">
        <v>105</v>
      </c>
      <c r="C6" s="51" t="s">
        <v>106</v>
      </c>
      <c r="D6" s="52" t="s">
        <v>69</v>
      </c>
      <c r="E6" s="53">
        <f>COUNTIFS(중식!$B:$B,D6)+COUNTIFS(중식!$C:$C,D6)</f>
        <v>0</v>
      </c>
      <c r="F6" s="54"/>
      <c r="G6" s="53">
        <f>SUM(O6*7+P6*15+Q6*15+R6*7)</f>
        <v>0</v>
      </c>
      <c r="H6" s="53">
        <f t="shared" si="1"/>
        <v>0</v>
      </c>
      <c r="I6" s="53"/>
      <c r="J6" s="53">
        <f t="shared" si="2"/>
        <v>0</v>
      </c>
      <c r="K6" s="55">
        <f>VLOOKUP($D6,'야근횟수&amp;비번'!$B$3:$L$24,6,0)</f>
        <v>0</v>
      </c>
      <c r="L6" s="55">
        <f>VLOOKUP($D6,'야근횟수&amp;비번'!$B$3:$L$24,7,0)</f>
        <v>0</v>
      </c>
      <c r="M6" s="55">
        <f>VLOOKUP($D6,'야근횟수&amp;비번'!$B$3:$L$24,11,0)</f>
        <v>0</v>
      </c>
      <c r="N6" s="56"/>
      <c r="O6" s="57">
        <f>VLOOKUP($D6,'야근횟수&amp;비번'!$B$3:$L$24,2,0)</f>
        <v>0</v>
      </c>
      <c r="P6" s="57">
        <f>VLOOKUP($D6,'야근횟수&amp;비번'!$B$3:$L$24,3,0)</f>
        <v>0</v>
      </c>
      <c r="Q6" s="57">
        <f>VLOOKUP($D6,'야근횟수&amp;비번'!$B$3:$L$24,4,0)</f>
        <v>0</v>
      </c>
      <c r="R6" s="57">
        <f>VLOOKUP($D6,'야근횟수&amp;비번'!$B$3:$L$24,5,0)</f>
        <v>0</v>
      </c>
    </row>
    <row r="7" spans="1:23" ht="30" customHeight="1" x14ac:dyDescent="0.3">
      <c r="A7" s="124">
        <f t="shared" si="3"/>
        <v>5</v>
      </c>
      <c r="B7" s="51" t="s">
        <v>105</v>
      </c>
      <c r="C7" s="51" t="s">
        <v>107</v>
      </c>
      <c r="D7" s="52" t="s">
        <v>68</v>
      </c>
      <c r="E7" s="53">
        <f>COUNTIFS(중식!$B:$B,D7)+COUNTIFS(중식!$C:$C,D7)</f>
        <v>0</v>
      </c>
      <c r="F7" s="54"/>
      <c r="G7" s="53">
        <f t="shared" si="0"/>
        <v>0</v>
      </c>
      <c r="H7" s="53">
        <f t="shared" si="1"/>
        <v>0</v>
      </c>
      <c r="I7" s="53"/>
      <c r="J7" s="53">
        <f t="shared" si="2"/>
        <v>0</v>
      </c>
      <c r="K7" s="55">
        <f>VLOOKUP($D7,'야근횟수&amp;비번'!$B$3:$L$24,6,0)</f>
        <v>0</v>
      </c>
      <c r="L7" s="55">
        <f>VLOOKUP($D7,'야근횟수&amp;비번'!$B$3:$L$24,7,0)</f>
        <v>0</v>
      </c>
      <c r="M7" s="55">
        <f>VLOOKUP($D7,'야근횟수&amp;비번'!$B$3:$L$24,11,0)</f>
        <v>0</v>
      </c>
      <c r="N7" s="58"/>
      <c r="O7" s="57">
        <f>VLOOKUP($D7,'야근횟수&amp;비번'!$B$3:$L$24,2,0)</f>
        <v>0</v>
      </c>
      <c r="P7" s="57">
        <f>VLOOKUP($D7,'야근횟수&amp;비번'!$B$3:$L$24,3,0)</f>
        <v>0</v>
      </c>
      <c r="Q7" s="57">
        <f>VLOOKUP($D7,'야근횟수&amp;비번'!$B$3:$L$24,4,0)</f>
        <v>0</v>
      </c>
      <c r="R7" s="57">
        <f>VLOOKUP($D7,'야근횟수&amp;비번'!$B$3:$L$24,5,0)</f>
        <v>0</v>
      </c>
    </row>
    <row r="8" spans="1:23" ht="30" customHeight="1" x14ac:dyDescent="0.3">
      <c r="A8" s="124">
        <f t="shared" si="3"/>
        <v>6</v>
      </c>
      <c r="B8" s="51" t="s">
        <v>105</v>
      </c>
      <c r="C8" s="51" t="s">
        <v>108</v>
      </c>
      <c r="D8" s="52" t="s">
        <v>67</v>
      </c>
      <c r="E8" s="53">
        <f>COUNTIFS(중식!$B:$B,D8)+COUNTIFS(중식!$C:$C,D8)</f>
        <v>0</v>
      </c>
      <c r="F8" s="54"/>
      <c r="G8" s="53">
        <f>SUM(O8*7+P8*15+Q8*15+R8*7)</f>
        <v>44</v>
      </c>
      <c r="H8" s="53">
        <f t="shared" si="1"/>
        <v>44</v>
      </c>
      <c r="I8" s="53"/>
      <c r="J8" s="53">
        <f t="shared" si="2"/>
        <v>44</v>
      </c>
      <c r="K8" s="55">
        <f>VLOOKUP($D8,'야근횟수&amp;비번'!$B$3:$L$24,6,0)</f>
        <v>4</v>
      </c>
      <c r="L8" s="55">
        <f>VLOOKUP($D8,'야근횟수&amp;비번'!$B$3:$L$24,7,0)</f>
        <v>2</v>
      </c>
      <c r="M8" s="55" t="str">
        <f>VLOOKUP($D8,'야근횟수&amp;비번'!$B$3:$L$24,11,0)</f>
        <v>현업</v>
      </c>
      <c r="N8" s="59"/>
      <c r="O8" s="57">
        <f>VLOOKUP($D8,'야근횟수&amp;비번'!$B$3:$L$24,2,0)</f>
        <v>1</v>
      </c>
      <c r="P8" s="57">
        <f>VLOOKUP($D8,'야근횟수&amp;비번'!$B$3:$L$24,3,0)</f>
        <v>1</v>
      </c>
      <c r="Q8" s="57">
        <f>VLOOKUP($D8,'야근횟수&amp;비번'!$B$3:$L$24,4,0)</f>
        <v>1</v>
      </c>
      <c r="R8" s="57">
        <f>VLOOKUP($D8,'야근횟수&amp;비번'!$B$3:$L$24,5,0)</f>
        <v>1</v>
      </c>
    </row>
    <row r="9" spans="1:23" ht="30" customHeight="1" x14ac:dyDescent="0.3">
      <c r="A9" s="124">
        <f t="shared" si="3"/>
        <v>7</v>
      </c>
      <c r="B9" s="51" t="s">
        <v>105</v>
      </c>
      <c r="C9" s="51" t="s">
        <v>108</v>
      </c>
      <c r="D9" s="52" t="s">
        <v>143</v>
      </c>
      <c r="E9" s="53">
        <f>COUNTIFS(중식!$B:$B,D9)+COUNTIFS(중식!$C:$C,D9)</f>
        <v>0</v>
      </c>
      <c r="F9" s="54"/>
      <c r="G9" s="53">
        <f t="shared" si="0"/>
        <v>36</v>
      </c>
      <c r="H9" s="53">
        <f t="shared" si="1"/>
        <v>36</v>
      </c>
      <c r="I9" s="53"/>
      <c r="J9" s="53">
        <f t="shared" si="2"/>
        <v>36</v>
      </c>
      <c r="K9" s="55">
        <f>VLOOKUP($D9,'야근횟수&amp;비번'!$B$3:$L$24,6,0)</f>
        <v>4</v>
      </c>
      <c r="L9" s="55">
        <f>VLOOKUP($D9,'야근횟수&amp;비번'!$B$3:$L$24,7,0)</f>
        <v>1</v>
      </c>
      <c r="M9" s="55" t="str">
        <f>VLOOKUP($D9,'야근횟수&amp;비번'!$B$3:$L$24,11,0)</f>
        <v>현업</v>
      </c>
      <c r="N9" s="59"/>
      <c r="O9" s="57">
        <f>VLOOKUP($D9,'야근횟수&amp;비번'!$B$3:$L$24,2,0)</f>
        <v>3</v>
      </c>
      <c r="P9" s="57">
        <f>VLOOKUP($D9,'야근횟수&amp;비번'!$B$3:$L$24,3,0)</f>
        <v>0</v>
      </c>
      <c r="Q9" s="57">
        <f>VLOOKUP($D9,'야근횟수&amp;비번'!$B$3:$L$24,4,0)</f>
        <v>1</v>
      </c>
      <c r="R9" s="57">
        <f>VLOOKUP($D9,'야근횟수&amp;비번'!$B$3:$L$24,5,0)</f>
        <v>0</v>
      </c>
    </row>
    <row r="10" spans="1:23" ht="30" customHeight="1" x14ac:dyDescent="0.3">
      <c r="A10" s="124">
        <f t="shared" si="3"/>
        <v>8</v>
      </c>
      <c r="B10" s="51" t="s">
        <v>105</v>
      </c>
      <c r="C10" s="51" t="s">
        <v>109</v>
      </c>
      <c r="D10" s="52" t="s">
        <v>66</v>
      </c>
      <c r="E10" s="53">
        <f>COUNTIFS(중식!$B:$B,D10)+COUNTIFS(중식!$C:$C,D10)</f>
        <v>0</v>
      </c>
      <c r="F10" s="54"/>
      <c r="G10" s="53">
        <f t="shared" si="0"/>
        <v>36</v>
      </c>
      <c r="H10" s="53">
        <f t="shared" si="1"/>
        <v>36</v>
      </c>
      <c r="I10" s="53"/>
      <c r="J10" s="53">
        <f t="shared" si="2"/>
        <v>36</v>
      </c>
      <c r="K10" s="55">
        <f>VLOOKUP($D10,'야근횟수&amp;비번'!$B$3:$L$24,6,0)</f>
        <v>4</v>
      </c>
      <c r="L10" s="55">
        <f>VLOOKUP($D10,'야근횟수&amp;비번'!$B$3:$L$24,7,0)</f>
        <v>1</v>
      </c>
      <c r="M10" s="55" t="str">
        <f>VLOOKUP($D10,'야근횟수&amp;비번'!$B$3:$L$24,11,0)</f>
        <v>현업</v>
      </c>
      <c r="N10" s="59"/>
      <c r="O10" s="57">
        <f>VLOOKUP($D10,'야근횟수&amp;비번'!$B$3:$L$24,2,0)</f>
        <v>2</v>
      </c>
      <c r="P10" s="57">
        <f>VLOOKUP($D10,'야근횟수&amp;비번'!$B$3:$L$24,3,0)</f>
        <v>1</v>
      </c>
      <c r="Q10" s="57">
        <f>VLOOKUP($D10,'야근횟수&amp;비번'!$B$3:$L$24,4,0)</f>
        <v>0</v>
      </c>
      <c r="R10" s="57">
        <f>VLOOKUP($D10,'야근횟수&amp;비번'!$B$3:$L$24,5,0)</f>
        <v>1</v>
      </c>
    </row>
    <row r="11" spans="1:23" ht="30" customHeight="1" x14ac:dyDescent="0.3">
      <c r="A11" s="124">
        <f t="shared" si="3"/>
        <v>9</v>
      </c>
      <c r="B11" s="51" t="s">
        <v>105</v>
      </c>
      <c r="C11" s="51" t="s">
        <v>109</v>
      </c>
      <c r="D11" s="52" t="s">
        <v>65</v>
      </c>
      <c r="E11" s="53">
        <f>COUNTIFS(중식!$B:$B,D11)+COUNTIFS(중식!$C:$C,D11)</f>
        <v>0</v>
      </c>
      <c r="F11" s="54"/>
      <c r="G11" s="53">
        <f t="shared" si="0"/>
        <v>36</v>
      </c>
      <c r="H11" s="53">
        <f t="shared" si="1"/>
        <v>36</v>
      </c>
      <c r="I11" s="53"/>
      <c r="J11" s="53">
        <f t="shared" si="2"/>
        <v>36</v>
      </c>
      <c r="K11" s="55">
        <f>VLOOKUP($D11,'야근횟수&amp;비번'!$B$3:$L$24,6,0)</f>
        <v>4</v>
      </c>
      <c r="L11" s="55">
        <f>VLOOKUP($D11,'야근횟수&amp;비번'!$B$3:$L$24,7,0)</f>
        <v>2</v>
      </c>
      <c r="M11" s="55" t="str">
        <f>VLOOKUP($D11,'야근횟수&amp;비번'!$B$3:$L$24,11,0)</f>
        <v>현업</v>
      </c>
      <c r="N11" s="59"/>
      <c r="O11" s="57">
        <f>VLOOKUP($D11,'야근횟수&amp;비번'!$B$3:$L$24,2,0)</f>
        <v>2</v>
      </c>
      <c r="P11" s="57">
        <f>VLOOKUP($D11,'야근횟수&amp;비번'!$B$3:$L$24,3,0)</f>
        <v>0</v>
      </c>
      <c r="Q11" s="57">
        <f>VLOOKUP($D11,'야근횟수&amp;비번'!$B$3:$L$24,4,0)</f>
        <v>1</v>
      </c>
      <c r="R11" s="57">
        <f>VLOOKUP($D11,'야근횟수&amp;비번'!$B$3:$L$24,5,0)</f>
        <v>1</v>
      </c>
    </row>
    <row r="12" spans="1:23" ht="30" customHeight="1" x14ac:dyDescent="0.3">
      <c r="A12" s="124">
        <f t="shared" si="3"/>
        <v>10</v>
      </c>
      <c r="B12" s="51" t="s">
        <v>105</v>
      </c>
      <c r="C12" s="51" t="s">
        <v>110</v>
      </c>
      <c r="D12" s="52" t="s">
        <v>64</v>
      </c>
      <c r="E12" s="53">
        <f>COUNTIFS(중식!$B:$B,D12)+COUNTIFS(중식!$C:$C,D12)</f>
        <v>0</v>
      </c>
      <c r="F12" s="54"/>
      <c r="G12" s="53">
        <f t="shared" si="0"/>
        <v>51</v>
      </c>
      <c r="H12" s="53">
        <f t="shared" si="1"/>
        <v>51</v>
      </c>
      <c r="I12" s="53"/>
      <c r="J12" s="53">
        <f t="shared" si="2"/>
        <v>51</v>
      </c>
      <c r="K12" s="55">
        <f>VLOOKUP($D12,'야근횟수&amp;비번'!$B$3:$L$24,6,0)</f>
        <v>5</v>
      </c>
      <c r="L12" s="55">
        <f>VLOOKUP($D12,'야근횟수&amp;비번'!$B$3:$L$24,7,0)</f>
        <v>2</v>
      </c>
      <c r="M12" s="55" t="str">
        <f>VLOOKUP($D12,'야근횟수&amp;비번'!$B$3:$L$24,11,0)</f>
        <v>현업</v>
      </c>
      <c r="N12" s="59"/>
      <c r="O12" s="57">
        <f>VLOOKUP($D12,'야근횟수&amp;비번'!$B$3:$L$24,2,0)</f>
        <v>2</v>
      </c>
      <c r="P12" s="57">
        <f>VLOOKUP($D12,'야근횟수&amp;비번'!$B$3:$L$24,3,0)</f>
        <v>1</v>
      </c>
      <c r="Q12" s="57">
        <f>VLOOKUP($D12,'야근횟수&amp;비번'!$B$3:$L$24,4,0)</f>
        <v>1</v>
      </c>
      <c r="R12" s="57">
        <f>VLOOKUP($D12,'야근횟수&amp;비번'!$B$3:$L$24,5,0)</f>
        <v>1</v>
      </c>
    </row>
    <row r="13" spans="1:23" ht="30" customHeight="1" x14ac:dyDescent="0.3">
      <c r="A13" s="124">
        <f t="shared" si="3"/>
        <v>11</v>
      </c>
      <c r="B13" s="51" t="s">
        <v>105</v>
      </c>
      <c r="C13" s="51" t="s">
        <v>111</v>
      </c>
      <c r="D13" s="52" t="s">
        <v>63</v>
      </c>
      <c r="E13" s="53">
        <v>0</v>
      </c>
      <c r="F13" s="54"/>
      <c r="G13" s="53">
        <f t="shared" si="0"/>
        <v>7</v>
      </c>
      <c r="H13" s="53">
        <f t="shared" si="1"/>
        <v>7</v>
      </c>
      <c r="I13" s="53"/>
      <c r="J13" s="53">
        <f t="shared" si="2"/>
        <v>7</v>
      </c>
      <c r="K13" s="55">
        <f>VLOOKUP($D13,'야근횟수&amp;비번'!$B$3:$L$24,6,0)</f>
        <v>1</v>
      </c>
      <c r="L13" s="55">
        <f>VLOOKUP($D13,'야근횟수&amp;비번'!$B$3:$L$24,7,0)</f>
        <v>0</v>
      </c>
      <c r="M13" s="55" t="str">
        <f>VLOOKUP($D13,'야근횟수&amp;비번'!$B$3:$L$24,11,0)</f>
        <v>현업</v>
      </c>
      <c r="N13" s="59"/>
      <c r="O13" s="57">
        <f>VLOOKUP($D13,'야근횟수&amp;비번'!$B$3:$L$24,2,0)</f>
        <v>1</v>
      </c>
      <c r="P13" s="57">
        <f>VLOOKUP($D13,'야근횟수&amp;비번'!$B$3:$L$24,3,0)</f>
        <v>0</v>
      </c>
      <c r="Q13" s="57">
        <f>VLOOKUP($D13,'야근횟수&amp;비번'!$B$3:$L$24,4,0)</f>
        <v>0</v>
      </c>
      <c r="R13" s="57">
        <f>VLOOKUP($D13,'야근횟수&amp;비번'!$B$3:$L$24,5,0)</f>
        <v>0</v>
      </c>
      <c r="W13" s="60"/>
    </row>
    <row r="14" spans="1:23" ht="30" customHeight="1" x14ac:dyDescent="0.3">
      <c r="A14" s="124">
        <f t="shared" si="3"/>
        <v>12</v>
      </c>
      <c r="B14" s="51" t="s">
        <v>105</v>
      </c>
      <c r="C14" s="51" t="s">
        <v>111</v>
      </c>
      <c r="D14" s="52" t="s">
        <v>144</v>
      </c>
      <c r="E14" s="53">
        <f>COUNTIFS(중식!$B:$B,D14)+COUNTIFS(중식!$C:$C,D14)</f>
        <v>0</v>
      </c>
      <c r="F14" s="54"/>
      <c r="G14" s="53">
        <f>SUM(O14*7+P14*15+Q14*15+R14*7)</f>
        <v>21</v>
      </c>
      <c r="H14" s="53">
        <f t="shared" si="1"/>
        <v>21</v>
      </c>
      <c r="I14" s="53"/>
      <c r="J14" s="53">
        <f t="shared" si="2"/>
        <v>21</v>
      </c>
      <c r="K14" s="55">
        <f>VLOOKUP($D14,'야근횟수&amp;비번'!$B$3:$L$24,6,0)</f>
        <v>3</v>
      </c>
      <c r="L14" s="55">
        <f>VLOOKUP($D14,'야근횟수&amp;비번'!$B$3:$L$24,7,0)</f>
        <v>0</v>
      </c>
      <c r="M14" s="55" t="str">
        <f>VLOOKUP($D14,'야근횟수&amp;비번'!$B$3:$L$24,11,0)</f>
        <v>현업</v>
      </c>
      <c r="N14" s="59"/>
      <c r="O14" s="57">
        <f>VLOOKUP($D14,'야근횟수&amp;비번'!$B$3:$L$24,2,0)</f>
        <v>3</v>
      </c>
      <c r="P14" s="57">
        <f>VLOOKUP($D14,'야근횟수&amp;비번'!$B$3:$L$24,3,0)</f>
        <v>0</v>
      </c>
      <c r="Q14" s="57">
        <f>VLOOKUP($D14,'야근횟수&amp;비번'!$B$3:$L$24,4,0)</f>
        <v>0</v>
      </c>
      <c r="R14" s="57">
        <f>VLOOKUP($D14,'야근횟수&amp;비번'!$B$3:$L$24,5,0)</f>
        <v>0</v>
      </c>
    </row>
    <row r="15" spans="1:23" ht="30" customHeight="1" x14ac:dyDescent="0.3">
      <c r="A15" s="124">
        <f t="shared" si="3"/>
        <v>13</v>
      </c>
      <c r="B15" s="51" t="s">
        <v>105</v>
      </c>
      <c r="C15" s="51" t="s">
        <v>112</v>
      </c>
      <c r="D15" s="52" t="s">
        <v>62</v>
      </c>
      <c r="E15" s="53">
        <f>COUNTIFS(중식!$B:$B,D15)+COUNTIFS(중식!$C:$C,D15)</f>
        <v>0</v>
      </c>
      <c r="F15" s="54"/>
      <c r="G15" s="53">
        <f t="shared" si="0"/>
        <v>44</v>
      </c>
      <c r="H15" s="53">
        <f t="shared" si="1"/>
        <v>44</v>
      </c>
      <c r="I15" s="53"/>
      <c r="J15" s="53">
        <f t="shared" si="2"/>
        <v>44</v>
      </c>
      <c r="K15" s="55">
        <f>VLOOKUP($D15,'야근횟수&amp;비번'!$B$3:$L$24,6,0)</f>
        <v>4</v>
      </c>
      <c r="L15" s="55">
        <f>VLOOKUP($D15,'야근횟수&amp;비번'!$B$3:$L$24,7,0)</f>
        <v>1</v>
      </c>
      <c r="M15" s="55" t="str">
        <f>VLOOKUP($D15,'야근횟수&amp;비번'!$B$3:$L$24,11,0)</f>
        <v>현업</v>
      </c>
      <c r="N15" s="59"/>
      <c r="O15" s="57">
        <f>VLOOKUP($D15,'야근횟수&amp;비번'!$B$3:$L$24,2,0)</f>
        <v>2</v>
      </c>
      <c r="P15" s="57">
        <f>VLOOKUP($D15,'야근횟수&amp;비번'!$B$3:$L$24,3,0)</f>
        <v>1</v>
      </c>
      <c r="Q15" s="57">
        <f>VLOOKUP($D15,'야근횟수&amp;비번'!$B$3:$L$24,4,0)</f>
        <v>1</v>
      </c>
      <c r="R15" s="57">
        <f>VLOOKUP($D15,'야근횟수&amp;비번'!$B$3:$L$24,5,0)</f>
        <v>0</v>
      </c>
      <c r="W15" s="60"/>
    </row>
    <row r="16" spans="1:23" ht="30" customHeight="1" x14ac:dyDescent="0.3">
      <c r="A16" s="124">
        <f t="shared" si="3"/>
        <v>14</v>
      </c>
      <c r="B16" s="51" t="s">
        <v>105</v>
      </c>
      <c r="C16" s="51" t="s">
        <v>112</v>
      </c>
      <c r="D16" s="52" t="s">
        <v>61</v>
      </c>
      <c r="E16" s="53">
        <f>COUNTIFS(중식!$B:$B,D16)+COUNTIFS(중식!$C:$C,D16)</f>
        <v>0</v>
      </c>
      <c r="F16" s="54"/>
      <c r="G16" s="53">
        <f t="shared" si="0"/>
        <v>36</v>
      </c>
      <c r="H16" s="53">
        <f t="shared" si="1"/>
        <v>36</v>
      </c>
      <c r="I16" s="53"/>
      <c r="J16" s="53">
        <f t="shared" si="2"/>
        <v>36</v>
      </c>
      <c r="K16" s="55">
        <f>VLOOKUP($D16,'야근횟수&amp;비번'!$B$3:$L$24,6,0)</f>
        <v>4</v>
      </c>
      <c r="L16" s="55">
        <f>VLOOKUP($D16,'야근횟수&amp;비번'!$B$3:$L$24,7,0)</f>
        <v>2</v>
      </c>
      <c r="M16" s="55" t="str">
        <f>VLOOKUP($D16,'야근횟수&amp;비번'!$B$3:$L$24,11,0)</f>
        <v>현업</v>
      </c>
      <c r="N16" s="59"/>
      <c r="O16" s="57">
        <f>VLOOKUP($D16,'야근횟수&amp;비번'!$B$3:$L$24,2,0)</f>
        <v>2</v>
      </c>
      <c r="P16" s="57">
        <f>VLOOKUP($D16,'야근횟수&amp;비번'!$B$3:$L$24,3,0)</f>
        <v>0</v>
      </c>
      <c r="Q16" s="57">
        <f>VLOOKUP($D16,'야근횟수&amp;비번'!$B$3:$L$24,4,0)</f>
        <v>1</v>
      </c>
      <c r="R16" s="57">
        <f>VLOOKUP($D16,'야근횟수&amp;비번'!$B$3:$L$24,5,0)</f>
        <v>1</v>
      </c>
      <c r="W16" s="60"/>
    </row>
    <row r="17" spans="1:23" ht="30" customHeight="1" x14ac:dyDescent="0.3">
      <c r="A17" s="124">
        <f t="shared" si="3"/>
        <v>15</v>
      </c>
      <c r="B17" s="51" t="s">
        <v>105</v>
      </c>
      <c r="C17" s="51" t="s">
        <v>112</v>
      </c>
      <c r="D17" s="52" t="s">
        <v>60</v>
      </c>
      <c r="E17" s="53">
        <f>COUNTIFS(중식!$B:$B,D17)+COUNTIFS(중식!$C:$C,D17)</f>
        <v>0</v>
      </c>
      <c r="F17" s="54"/>
      <c r="G17" s="53">
        <f t="shared" si="0"/>
        <v>29</v>
      </c>
      <c r="H17" s="53">
        <f t="shared" si="1"/>
        <v>29</v>
      </c>
      <c r="I17" s="53"/>
      <c r="J17" s="53">
        <f t="shared" si="2"/>
        <v>29</v>
      </c>
      <c r="K17" s="55">
        <f>VLOOKUP($D17,'야근횟수&amp;비번'!$B$3:$L$24,6,0)</f>
        <v>3</v>
      </c>
      <c r="L17" s="55">
        <f>VLOOKUP($D17,'야근횟수&amp;비번'!$B$3:$L$24,7,0)</f>
        <v>1</v>
      </c>
      <c r="M17" s="55" t="str">
        <f>VLOOKUP($D17,'야근횟수&amp;비번'!$B$3:$L$24,11,0)</f>
        <v>현업</v>
      </c>
      <c r="N17" s="59"/>
      <c r="O17" s="57">
        <f>VLOOKUP($D17,'야근횟수&amp;비번'!$B$3:$L$24,2,0)</f>
        <v>2</v>
      </c>
      <c r="P17" s="57">
        <f>VLOOKUP($D17,'야근횟수&amp;비번'!$B$3:$L$24,3,0)</f>
        <v>0</v>
      </c>
      <c r="Q17" s="57">
        <f>VLOOKUP($D17,'야근횟수&amp;비번'!$B$3:$L$24,4,0)</f>
        <v>1</v>
      </c>
      <c r="R17" s="57">
        <f>VLOOKUP($D17,'야근횟수&amp;비번'!$B$3:$L$24,5,0)</f>
        <v>0</v>
      </c>
      <c r="W17" s="60"/>
    </row>
    <row r="18" spans="1:23" ht="30" customHeight="1" x14ac:dyDescent="0.3">
      <c r="A18" s="124">
        <f t="shared" si="3"/>
        <v>16</v>
      </c>
      <c r="B18" s="51" t="s">
        <v>105</v>
      </c>
      <c r="C18" s="51" t="s">
        <v>112</v>
      </c>
      <c r="D18" s="52" t="s">
        <v>59</v>
      </c>
      <c r="E18" s="53">
        <f>COUNTIFS(중식!$B:$B,D18)+COUNTIFS(중식!$C:$C,D18)</f>
        <v>0</v>
      </c>
      <c r="F18" s="54"/>
      <c r="G18" s="53">
        <f t="shared" si="0"/>
        <v>0</v>
      </c>
      <c r="H18" s="53">
        <f t="shared" si="1"/>
        <v>0</v>
      </c>
      <c r="I18" s="53"/>
      <c r="J18" s="53">
        <f t="shared" si="2"/>
        <v>0</v>
      </c>
      <c r="K18" s="55">
        <f>VLOOKUP($D18,'야근횟수&amp;비번'!$B$3:$L$24,6,0)</f>
        <v>0</v>
      </c>
      <c r="L18" s="55">
        <f>VLOOKUP($D18,'야근횟수&amp;비번'!$B$3:$L$24,7,0)</f>
        <v>0</v>
      </c>
      <c r="M18" s="55" t="str">
        <f>VLOOKUP($D18,'야근횟수&amp;비번'!$B$3:$L$24,11,0)</f>
        <v>현업</v>
      </c>
      <c r="N18" s="59"/>
      <c r="O18" s="57">
        <f>VLOOKUP($D18,'야근횟수&amp;비번'!$B$3:$L$24,2,0)</f>
        <v>0</v>
      </c>
      <c r="P18" s="57">
        <f>VLOOKUP($D18,'야근횟수&amp;비번'!$B$3:$L$24,3,0)</f>
        <v>0</v>
      </c>
      <c r="Q18" s="57">
        <f>VLOOKUP($D18,'야근횟수&amp;비번'!$B$3:$L$24,4,0)</f>
        <v>0</v>
      </c>
      <c r="R18" s="57">
        <f>VLOOKUP($D18,'야근횟수&amp;비번'!$B$3:$L$24,5,0)</f>
        <v>0</v>
      </c>
      <c r="W18" s="60"/>
    </row>
    <row r="19" spans="1:23" ht="30" customHeight="1" x14ac:dyDescent="0.3">
      <c r="A19" s="124">
        <f t="shared" si="3"/>
        <v>17</v>
      </c>
      <c r="B19" s="51" t="s">
        <v>105</v>
      </c>
      <c r="C19" s="51" t="s">
        <v>111</v>
      </c>
      <c r="D19" s="52" t="s">
        <v>58</v>
      </c>
      <c r="E19" s="53">
        <f>COUNTIFS(중식!$B:$B,D19)+COUNTIFS(중식!$C:$C,D19)</f>
        <v>0</v>
      </c>
      <c r="F19" s="54"/>
      <c r="G19" s="53">
        <f t="shared" si="0"/>
        <v>43</v>
      </c>
      <c r="H19" s="53">
        <f t="shared" si="1"/>
        <v>43</v>
      </c>
      <c r="I19" s="53"/>
      <c r="J19" s="53">
        <f t="shared" si="2"/>
        <v>43</v>
      </c>
      <c r="K19" s="55">
        <f>VLOOKUP($D19,'야근횟수&amp;비번'!$B$3:$L$24,6,0)</f>
        <v>5</v>
      </c>
      <c r="L19" s="55">
        <f>VLOOKUP($D19,'야근횟수&amp;비번'!$B$3:$L$24,7,0)</f>
        <v>2</v>
      </c>
      <c r="M19" s="55" t="str">
        <f>VLOOKUP($D19,'야근횟수&amp;비번'!$B$3:$L$24,11,0)</f>
        <v>현업</v>
      </c>
      <c r="N19" s="56"/>
      <c r="O19" s="57">
        <f>VLOOKUP($D19,'야근횟수&amp;비번'!$B$3:$L$24,2,0)</f>
        <v>3</v>
      </c>
      <c r="P19" s="57">
        <f>VLOOKUP($D19,'야근횟수&amp;비번'!$B$3:$L$24,3,0)</f>
        <v>0</v>
      </c>
      <c r="Q19" s="57">
        <f>VLOOKUP($D19,'야근횟수&amp;비번'!$B$3:$L$24,4,0)</f>
        <v>1</v>
      </c>
      <c r="R19" s="57">
        <f>VLOOKUP($D19,'야근횟수&amp;비번'!$B$3:$L$24,5,0)</f>
        <v>1</v>
      </c>
      <c r="W19" s="60"/>
    </row>
    <row r="20" spans="1:23" ht="30" customHeight="1" x14ac:dyDescent="0.3">
      <c r="A20" s="124">
        <f t="shared" si="3"/>
        <v>18</v>
      </c>
      <c r="B20" s="51" t="s">
        <v>105</v>
      </c>
      <c r="C20" s="51" t="s">
        <v>111</v>
      </c>
      <c r="D20" s="52" t="s">
        <v>57</v>
      </c>
      <c r="E20" s="53">
        <f>COUNTIFS(중식!$B:$B,D20)+COUNTIFS(중식!$C:$C,D20)</f>
        <v>0</v>
      </c>
      <c r="F20" s="54"/>
      <c r="G20" s="53">
        <f t="shared" ref="G20" si="4">SUM(O20*7+P20*15+Q20*15+R20*7)</f>
        <v>29</v>
      </c>
      <c r="H20" s="53">
        <f t="shared" si="1"/>
        <v>29</v>
      </c>
      <c r="I20" s="53"/>
      <c r="J20" s="53">
        <f t="shared" si="2"/>
        <v>29</v>
      </c>
      <c r="K20" s="55">
        <f>VLOOKUP($D20,'야근횟수&amp;비번'!$B$3:$L$24,6,0)</f>
        <v>3</v>
      </c>
      <c r="L20" s="55">
        <f>VLOOKUP($D20,'야근횟수&amp;비번'!$B$3:$L$24,7,0)</f>
        <v>1</v>
      </c>
      <c r="M20" s="55" t="str">
        <f>VLOOKUP($D20,'야근횟수&amp;비번'!$B$3:$L$24,11,0)</f>
        <v>현업</v>
      </c>
      <c r="N20" s="56"/>
      <c r="O20" s="57">
        <f>VLOOKUP($D20,'야근횟수&amp;비번'!$B$3:$L$24,2,0)</f>
        <v>2</v>
      </c>
      <c r="P20" s="57">
        <f>VLOOKUP($D20,'야근횟수&amp;비번'!$B$3:$L$24,3,0)</f>
        <v>0</v>
      </c>
      <c r="Q20" s="57">
        <f>VLOOKUP($D20,'야근횟수&amp;비번'!$B$3:$L$24,4,0)</f>
        <v>1</v>
      </c>
      <c r="R20" s="57">
        <f>VLOOKUP($D20,'야근횟수&amp;비번'!$B$3:$L$24,5,0)</f>
        <v>0</v>
      </c>
      <c r="W20" s="60"/>
    </row>
    <row r="21" spans="1:23" ht="30" customHeight="1" x14ac:dyDescent="0.3">
      <c r="A21" s="124">
        <f t="shared" si="3"/>
        <v>19</v>
      </c>
      <c r="B21" s="51" t="s">
        <v>105</v>
      </c>
      <c r="C21" s="51" t="s">
        <v>113</v>
      </c>
      <c r="D21" s="52" t="s">
        <v>56</v>
      </c>
      <c r="E21" s="53">
        <f>COUNTIFS(중식!$B:$B,D21)+COUNTIFS(중식!$C:$C,D21)</f>
        <v>0</v>
      </c>
      <c r="F21" s="54"/>
      <c r="G21" s="53">
        <f t="shared" si="0"/>
        <v>44</v>
      </c>
      <c r="H21" s="53">
        <f t="shared" si="1"/>
        <v>44</v>
      </c>
      <c r="I21" s="53"/>
      <c r="J21" s="53">
        <f t="shared" si="2"/>
        <v>44</v>
      </c>
      <c r="K21" s="55">
        <f>VLOOKUP($D21,'야근횟수&amp;비번'!$B$3:$L$24,6,0)</f>
        <v>4</v>
      </c>
      <c r="L21" s="55">
        <f>VLOOKUP($D21,'야근횟수&amp;비번'!$B$3:$L$24,7,0)</f>
        <v>1</v>
      </c>
      <c r="M21" s="55" t="str">
        <f>VLOOKUP($D21,'야근횟수&amp;비번'!$B$3:$L$24,11,0)</f>
        <v>현업</v>
      </c>
      <c r="N21" s="56"/>
      <c r="O21" s="57">
        <f>VLOOKUP($D21,'야근횟수&amp;비번'!$B$3:$L$24,2,0)</f>
        <v>2</v>
      </c>
      <c r="P21" s="57">
        <f>VLOOKUP($D21,'야근횟수&amp;비번'!$B$3:$L$24,3,0)</f>
        <v>1</v>
      </c>
      <c r="Q21" s="57">
        <f>VLOOKUP($D21,'야근횟수&amp;비번'!$B$3:$L$24,4,0)</f>
        <v>1</v>
      </c>
      <c r="R21" s="57">
        <f>VLOOKUP($D21,'야근횟수&amp;비번'!$B$3:$L$24,5,0)</f>
        <v>0</v>
      </c>
      <c r="W21" s="60"/>
    </row>
    <row r="22" spans="1:23" ht="30" customHeight="1" x14ac:dyDescent="0.3">
      <c r="A22" s="124">
        <f t="shared" si="3"/>
        <v>20</v>
      </c>
      <c r="B22" s="51" t="s">
        <v>105</v>
      </c>
      <c r="C22" s="51" t="s">
        <v>114</v>
      </c>
      <c r="D22" s="52" t="s">
        <v>55</v>
      </c>
      <c r="E22" s="53">
        <f>COUNTIFS(중식!$B:$B,D22)+COUNTIFS(중식!$C:$C,D22)</f>
        <v>0</v>
      </c>
      <c r="F22" s="54"/>
      <c r="G22" s="53">
        <f t="shared" si="0"/>
        <v>36</v>
      </c>
      <c r="H22" s="53">
        <f t="shared" si="1"/>
        <v>36</v>
      </c>
      <c r="I22" s="53"/>
      <c r="J22" s="53">
        <f t="shared" si="2"/>
        <v>36</v>
      </c>
      <c r="K22" s="55">
        <f>VLOOKUP($D22,'야근횟수&amp;비번'!$B$3:$L$24,6,0)</f>
        <v>4</v>
      </c>
      <c r="L22" s="55">
        <f>VLOOKUP($D22,'야근횟수&amp;비번'!$B$3:$L$24,7,0)</f>
        <v>1</v>
      </c>
      <c r="M22" s="55" t="str">
        <f>VLOOKUP($D22,'야근횟수&amp;비번'!$B$3:$L$24,11,0)</f>
        <v>현업</v>
      </c>
      <c r="N22" s="59"/>
      <c r="O22" s="57">
        <f>VLOOKUP($D22,'야근횟수&amp;비번'!$B$3:$L$24,2,0)</f>
        <v>3</v>
      </c>
      <c r="P22" s="57">
        <f>VLOOKUP($D22,'야근횟수&amp;비번'!$B$3:$L$24,3,0)</f>
        <v>0</v>
      </c>
      <c r="Q22" s="57">
        <f>VLOOKUP($D22,'야근횟수&amp;비번'!$B$3:$L$24,4,0)</f>
        <v>1</v>
      </c>
      <c r="R22" s="57">
        <f>VLOOKUP($D22,'야근횟수&amp;비번'!$B$3:$L$24,5,0)</f>
        <v>0</v>
      </c>
      <c r="W22" s="60"/>
    </row>
    <row r="23" spans="1:23" ht="30" customHeight="1" x14ac:dyDescent="0.3">
      <c r="A23" s="124">
        <f t="shared" si="3"/>
        <v>21</v>
      </c>
      <c r="B23" s="51" t="s">
        <v>105</v>
      </c>
      <c r="C23" s="51" t="s">
        <v>114</v>
      </c>
      <c r="D23" s="52" t="s">
        <v>54</v>
      </c>
      <c r="E23" s="53">
        <f>COUNTIFS(중식!$B:$B,D23)+COUNTIFS(중식!$C:$C,D23)</f>
        <v>0</v>
      </c>
      <c r="F23" s="54"/>
      <c r="G23" s="53">
        <f t="shared" si="0"/>
        <v>36</v>
      </c>
      <c r="H23" s="53">
        <f t="shared" si="1"/>
        <v>36</v>
      </c>
      <c r="I23" s="53"/>
      <c r="J23" s="53">
        <f t="shared" si="2"/>
        <v>36</v>
      </c>
      <c r="K23" s="55">
        <f>VLOOKUP($D23,'야근횟수&amp;비번'!$B$3:$L$24,6,0)</f>
        <v>4</v>
      </c>
      <c r="L23" s="55">
        <f>VLOOKUP($D23,'야근횟수&amp;비번'!$B$3:$L$24,7,0)</f>
        <v>2</v>
      </c>
      <c r="M23" s="55" t="str">
        <f>VLOOKUP($D23,'야근횟수&amp;비번'!$B$3:$L$24,11,0)</f>
        <v>현업</v>
      </c>
      <c r="N23" s="56"/>
      <c r="O23" s="57">
        <f>VLOOKUP($D23,'야근횟수&amp;비번'!$B$3:$L$24,2,0)</f>
        <v>2</v>
      </c>
      <c r="P23" s="57">
        <f>VLOOKUP($D23,'야근횟수&amp;비번'!$B$3:$L$24,3,0)</f>
        <v>0</v>
      </c>
      <c r="Q23" s="57">
        <f>VLOOKUP($D23,'야근횟수&amp;비번'!$B$3:$L$24,4,0)</f>
        <v>1</v>
      </c>
      <c r="R23" s="57">
        <f>VLOOKUP($D23,'야근횟수&amp;비번'!$B$3:$L$24,5,0)</f>
        <v>1</v>
      </c>
      <c r="W23" s="60"/>
    </row>
    <row r="24" spans="1:23" ht="30" customHeight="1" x14ac:dyDescent="0.3">
      <c r="A24" s="124">
        <f t="shared" si="3"/>
        <v>22</v>
      </c>
      <c r="B24" s="51" t="s">
        <v>105</v>
      </c>
      <c r="C24" s="51" t="s">
        <v>114</v>
      </c>
      <c r="D24" s="52" t="s">
        <v>53</v>
      </c>
      <c r="E24" s="53">
        <f>COUNTIFS(중식!$B:$B,D24)+COUNTIFS(중식!$C:$C,D24)</f>
        <v>0</v>
      </c>
      <c r="F24" s="54"/>
      <c r="G24" s="53">
        <f t="shared" si="0"/>
        <v>52</v>
      </c>
      <c r="H24" s="53">
        <f t="shared" si="1"/>
        <v>52</v>
      </c>
      <c r="I24" s="53"/>
      <c r="J24" s="53">
        <f t="shared" si="2"/>
        <v>52</v>
      </c>
      <c r="K24" s="55">
        <f>VLOOKUP($D24,'야근횟수&amp;비번'!$B$3:$L$24,6,0)</f>
        <v>4</v>
      </c>
      <c r="L24" s="55">
        <f>VLOOKUP($D24,'야근횟수&amp;비번'!$B$3:$L$24,7,0)</f>
        <v>1</v>
      </c>
      <c r="M24" s="55" t="str">
        <f>VLOOKUP($D24,'야근횟수&amp;비번'!$B$3:$L$24,11,0)</f>
        <v>현업</v>
      </c>
      <c r="N24" s="61"/>
      <c r="O24" s="57">
        <f>VLOOKUP($D24,'야근횟수&amp;비번'!$B$3:$L$24,2,0)</f>
        <v>0</v>
      </c>
      <c r="P24" s="57">
        <f>VLOOKUP($D24,'야근횟수&amp;비번'!$B$3:$L$24,3,0)</f>
        <v>3</v>
      </c>
      <c r="Q24" s="57">
        <f>VLOOKUP($D24,'야근횟수&amp;비번'!$B$3:$L$24,4,0)</f>
        <v>0</v>
      </c>
      <c r="R24" s="57">
        <f>VLOOKUP($D24,'야근횟수&amp;비번'!$B$3:$L$24,5,0)</f>
        <v>1</v>
      </c>
      <c r="W24" s="60"/>
    </row>
    <row r="25" spans="1:23" ht="30" hidden="1" customHeight="1" x14ac:dyDescent="0.3">
      <c r="A25" s="50">
        <v>22</v>
      </c>
      <c r="B25" s="51" t="s">
        <v>105</v>
      </c>
      <c r="C25" s="51"/>
      <c r="D25" s="52"/>
      <c r="E25" s="53"/>
      <c r="F25" s="54"/>
      <c r="G25" s="53">
        <f t="shared" si="0"/>
        <v>21</v>
      </c>
      <c r="H25" s="53">
        <f t="shared" si="1"/>
        <v>21</v>
      </c>
      <c r="I25" s="53"/>
      <c r="J25" s="53">
        <f t="shared" si="2"/>
        <v>21</v>
      </c>
      <c r="K25" s="55">
        <f>'야근횟수&amp;비번'!G24</f>
        <v>3</v>
      </c>
      <c r="L25" s="55">
        <f>'야근횟수&amp;비번'!H24</f>
        <v>0</v>
      </c>
      <c r="M25" s="55" t="str">
        <f>'야근횟수&amp;비번'!L24</f>
        <v>현업</v>
      </c>
      <c r="N25" s="59"/>
      <c r="O25" s="57">
        <f>'야근횟수&amp;비번'!C24</f>
        <v>3</v>
      </c>
      <c r="P25" s="53">
        <f>'야근횟수&amp;비번'!D24</f>
        <v>0</v>
      </c>
      <c r="Q25" s="53">
        <f>'야근횟수&amp;비번'!E24</f>
        <v>0</v>
      </c>
      <c r="R25" s="53">
        <f>'야근횟수&amp;비번'!F24</f>
        <v>0</v>
      </c>
      <c r="W25" s="60"/>
    </row>
  </sheetData>
  <mergeCells count="9">
    <mergeCell ref="M1:M2"/>
    <mergeCell ref="N1:N2"/>
    <mergeCell ref="O1:R1"/>
    <mergeCell ref="A1:A2"/>
    <mergeCell ref="B1:B2"/>
    <mergeCell ref="C1:C2"/>
    <mergeCell ref="D1:D2"/>
    <mergeCell ref="E1:J1"/>
    <mergeCell ref="L1:L2"/>
  </mergeCells>
  <phoneticPr fontId="1" type="noConversion"/>
  <pageMargins left="0.70866141732283472" right="0.23622047244094491" top="0.70866141732283472" bottom="0.43307086614173229" header="0.47244094488188981" footer="0.15748031496062992"/>
  <pageSetup paperSize="9" scale="4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CC9D-203C-4490-90CE-44069A0D5270}">
  <sheetPr>
    <pageSetUpPr fitToPage="1"/>
  </sheetPr>
  <dimension ref="A1:J32"/>
  <sheetViews>
    <sheetView view="pageBreakPreview" topLeftCell="A10" zoomScale="115" zoomScaleNormal="100" zoomScaleSheetLayoutView="115" workbookViewId="0">
      <selection activeCell="D16" sqref="D16"/>
    </sheetView>
  </sheetViews>
  <sheetFormatPr defaultRowHeight="15.75" customHeight="1" x14ac:dyDescent="0.3"/>
  <cols>
    <col min="1" max="2" width="7.875" style="62" customWidth="1"/>
    <col min="3" max="3" width="13.875" style="62" customWidth="1"/>
    <col min="4" max="4" width="10.5" style="62" customWidth="1"/>
    <col min="5" max="5" width="12.5" style="62" customWidth="1"/>
    <col min="6" max="6" width="12.875" style="62" customWidth="1"/>
    <col min="7" max="7" width="12.125" style="62" customWidth="1"/>
    <col min="8" max="8" width="15.875" style="62" bestFit="1" customWidth="1"/>
    <col min="9" max="9" width="25.5" style="62" bestFit="1" customWidth="1"/>
    <col min="10" max="16384" width="9" style="62"/>
  </cols>
  <sheetData>
    <row r="1" spans="1:10" ht="36" customHeight="1" x14ac:dyDescent="0.3">
      <c r="A1" s="172" t="str">
        <f>TEXT('야근횟수&amp;비번'!O1,"yyyy년 mm월"&amp;" 의료과 개인별 초과근무내역")</f>
        <v>2026년 09월 의료과 개인별 초과근무내역</v>
      </c>
      <c r="B1" s="173"/>
      <c r="C1" s="173"/>
      <c r="D1" s="173"/>
      <c r="E1" s="173"/>
      <c r="F1" s="173"/>
      <c r="G1" s="173"/>
      <c r="H1" s="173"/>
      <c r="I1" s="174"/>
    </row>
    <row r="2" spans="1:10" ht="25.5" customHeight="1" thickBot="1" x14ac:dyDescent="0.35">
      <c r="A2" s="175" t="s">
        <v>115</v>
      </c>
      <c r="B2" s="176"/>
      <c r="C2" s="176"/>
      <c r="D2" s="63"/>
      <c r="E2" s="63"/>
      <c r="F2" s="63"/>
      <c r="G2" s="177"/>
      <c r="H2" s="177"/>
      <c r="I2" s="64" t="s">
        <v>116</v>
      </c>
      <c r="J2" s="63"/>
    </row>
    <row r="3" spans="1:10" ht="27.75" customHeight="1" x14ac:dyDescent="0.3">
      <c r="A3" s="178" t="s">
        <v>117</v>
      </c>
      <c r="B3" s="181" t="s">
        <v>118</v>
      </c>
      <c r="C3" s="181" t="s">
        <v>119</v>
      </c>
      <c r="D3" s="181" t="s">
        <v>120</v>
      </c>
      <c r="E3" s="181" t="s">
        <v>121</v>
      </c>
      <c r="F3" s="181"/>
      <c r="G3" s="181"/>
      <c r="H3" s="183" t="s">
        <v>122</v>
      </c>
      <c r="I3" s="184" t="s">
        <v>123</v>
      </c>
    </row>
    <row r="4" spans="1:10" ht="27.75" customHeight="1" x14ac:dyDescent="0.3">
      <c r="A4" s="179"/>
      <c r="B4" s="182"/>
      <c r="C4" s="182"/>
      <c r="D4" s="182"/>
      <c r="E4" s="167" t="s">
        <v>124</v>
      </c>
      <c r="F4" s="167" t="s">
        <v>125</v>
      </c>
      <c r="G4" s="169" t="s">
        <v>126</v>
      </c>
      <c r="H4" s="182"/>
      <c r="I4" s="185"/>
    </row>
    <row r="5" spans="1:10" ht="27.75" customHeight="1" thickBot="1" x14ac:dyDescent="0.35">
      <c r="A5" s="180"/>
      <c r="B5" s="168"/>
      <c r="C5" s="168"/>
      <c r="D5" s="168"/>
      <c r="E5" s="168"/>
      <c r="F5" s="168"/>
      <c r="G5" s="170"/>
      <c r="H5" s="168"/>
      <c r="I5" s="186"/>
    </row>
    <row r="6" spans="1:10" ht="30" customHeight="1" x14ac:dyDescent="0.3">
      <c r="A6" s="130">
        <f t="shared" ref="A6:A27" si="0">ROW(A6)-ROW($A$5)</f>
        <v>1</v>
      </c>
      <c r="B6" s="131" t="s">
        <v>105</v>
      </c>
      <c r="C6" s="132" t="s">
        <v>73</v>
      </c>
      <c r="D6" s="132" t="s">
        <v>74</v>
      </c>
      <c r="E6" s="132">
        <f>VLOOKUP($D6,잔업시간!$D$3:'잔업시간'!$M$24,7,0)</f>
        <v>0</v>
      </c>
      <c r="F6" s="132">
        <f>VLOOKUP($D6,잔업시간!$D$3:'잔업시간'!$M$24,8,0)</f>
        <v>0</v>
      </c>
      <c r="G6" s="132">
        <f>VLOOKUP($D6,잔업시간!$D$3:'잔업시간'!$M$24,9,0)</f>
        <v>0</v>
      </c>
      <c r="H6" s="132" t="str">
        <f>VLOOKUP($D6,잔업시간!$D$3:'잔업시간'!$M$24,10,0)</f>
        <v>부이사관</v>
      </c>
      <c r="I6" s="133"/>
    </row>
    <row r="7" spans="1:10" ht="30" customHeight="1" x14ac:dyDescent="0.3">
      <c r="A7" s="65">
        <f t="shared" si="0"/>
        <v>2</v>
      </c>
      <c r="B7" s="128" t="s">
        <v>105</v>
      </c>
      <c r="C7" s="66" t="s">
        <v>71</v>
      </c>
      <c r="D7" s="66" t="s">
        <v>72</v>
      </c>
      <c r="E7" s="66">
        <f>VLOOKUP($D7,잔업시간!$D$3:'잔업시간'!$M$24,7,0)</f>
        <v>0</v>
      </c>
      <c r="F7" s="66">
        <f>VLOOKUP($D7,잔업시간!$D$3:'잔업시간'!$M$24,8,0)</f>
        <v>0</v>
      </c>
      <c r="G7" s="66">
        <f>VLOOKUP($D7,잔업시간!$D$3:'잔업시간'!$M$24,9,0)</f>
        <v>0</v>
      </c>
      <c r="H7" s="66" t="str">
        <f>VLOOKUP($D7,잔업시간!$D$3:'잔업시간'!$M$24,10,0)</f>
        <v>과학기술서기관</v>
      </c>
      <c r="I7" s="67"/>
    </row>
    <row r="8" spans="1:10" ht="30" customHeight="1" x14ac:dyDescent="0.3">
      <c r="A8" s="65">
        <f t="shared" si="0"/>
        <v>3</v>
      </c>
      <c r="B8" s="128" t="s">
        <v>105</v>
      </c>
      <c r="C8" s="66" t="s">
        <v>106</v>
      </c>
      <c r="D8" s="66" t="s">
        <v>70</v>
      </c>
      <c r="E8" s="66">
        <f>VLOOKUP($D8,잔업시간!$D$3:'잔업시간'!$M$24,7,0)</f>
        <v>0</v>
      </c>
      <c r="F8" s="66">
        <f>VLOOKUP($D8,잔업시간!$D$3:'잔업시간'!$M$24,8,0)</f>
        <v>0</v>
      </c>
      <c r="G8" s="66">
        <f>VLOOKUP($D8,잔업시간!$D$3:'잔업시간'!$M$24,9,0)</f>
        <v>0</v>
      </c>
      <c r="H8" s="66">
        <f>VLOOKUP($D8,잔업시간!$D$3:'잔업시간'!$M$24,10,0)</f>
        <v>0</v>
      </c>
      <c r="I8" s="67"/>
    </row>
    <row r="9" spans="1:10" ht="30" customHeight="1" x14ac:dyDescent="0.3">
      <c r="A9" s="65">
        <f t="shared" si="0"/>
        <v>4</v>
      </c>
      <c r="B9" s="128" t="s">
        <v>105</v>
      </c>
      <c r="C9" s="66" t="s">
        <v>106</v>
      </c>
      <c r="D9" s="66" t="s">
        <v>69</v>
      </c>
      <c r="E9" s="66">
        <f>VLOOKUP($D9,잔업시간!$D$3:'잔업시간'!$M$24,7,0)</f>
        <v>0</v>
      </c>
      <c r="F9" s="66">
        <f>VLOOKUP($D9,잔업시간!$D$3:'잔업시간'!$M$24,8,0)</f>
        <v>0</v>
      </c>
      <c r="G9" s="66">
        <f>VLOOKUP($D9,잔업시간!$D$3:'잔업시간'!$M$24,9,0)</f>
        <v>0</v>
      </c>
      <c r="H9" s="66">
        <f>VLOOKUP($D9,잔업시간!$D$3:'잔업시간'!$M$24,10,0)</f>
        <v>0</v>
      </c>
      <c r="I9" s="67"/>
    </row>
    <row r="10" spans="1:10" ht="30" customHeight="1" x14ac:dyDescent="0.3">
      <c r="A10" s="65">
        <f t="shared" si="0"/>
        <v>5</v>
      </c>
      <c r="B10" s="128" t="s">
        <v>105</v>
      </c>
      <c r="C10" s="66" t="s">
        <v>107</v>
      </c>
      <c r="D10" s="66" t="s">
        <v>68</v>
      </c>
      <c r="E10" s="66">
        <f>VLOOKUP($D10,잔업시간!$D$3:'잔업시간'!$M$24,7,0)</f>
        <v>0</v>
      </c>
      <c r="F10" s="66">
        <f>VLOOKUP($D10,잔업시간!$D$3:'잔업시간'!$M$24,8,0)</f>
        <v>0</v>
      </c>
      <c r="G10" s="66">
        <f>VLOOKUP($D10,잔업시간!$D$3:'잔업시간'!$M$24,9,0)</f>
        <v>0</v>
      </c>
      <c r="H10" s="66">
        <f>VLOOKUP($D10,잔업시간!$D$3:'잔업시간'!$M$24,10,0)</f>
        <v>0</v>
      </c>
      <c r="I10" s="68"/>
    </row>
    <row r="11" spans="1:10" ht="30" customHeight="1" x14ac:dyDescent="0.3">
      <c r="A11" s="65">
        <f t="shared" si="0"/>
        <v>6</v>
      </c>
      <c r="B11" s="128" t="s">
        <v>105</v>
      </c>
      <c r="C11" s="66" t="s">
        <v>108</v>
      </c>
      <c r="D11" s="66" t="s">
        <v>67</v>
      </c>
      <c r="E11" s="66">
        <f>VLOOKUP($D11,잔업시간!$D$3:'잔업시간'!$M$24,7,0)</f>
        <v>44</v>
      </c>
      <c r="F11" s="66">
        <f>VLOOKUP($D11,잔업시간!$D$3:'잔업시간'!$M$24,8,0)</f>
        <v>4</v>
      </c>
      <c r="G11" s="66">
        <f>VLOOKUP($D11,잔업시간!$D$3:'잔업시간'!$M$24,9,0)</f>
        <v>2</v>
      </c>
      <c r="H11" s="66" t="str">
        <f>VLOOKUP($D11,잔업시간!$D$3:'잔업시간'!$M$24,10,0)</f>
        <v>현업</v>
      </c>
      <c r="I11" s="69"/>
    </row>
    <row r="12" spans="1:10" ht="30" customHeight="1" x14ac:dyDescent="0.3">
      <c r="A12" s="65">
        <f t="shared" si="0"/>
        <v>7</v>
      </c>
      <c r="B12" s="128" t="s">
        <v>105</v>
      </c>
      <c r="C12" s="66" t="s">
        <v>108</v>
      </c>
      <c r="D12" s="66" t="s">
        <v>143</v>
      </c>
      <c r="E12" s="66">
        <f>VLOOKUP($D12,잔업시간!$D$3:'잔업시간'!$M$24,7,0)</f>
        <v>36</v>
      </c>
      <c r="F12" s="66">
        <f>VLOOKUP($D12,잔업시간!$D$3:'잔업시간'!$M$24,8,0)</f>
        <v>4</v>
      </c>
      <c r="G12" s="66">
        <f>VLOOKUP($D12,잔업시간!$D$3:'잔업시간'!$M$24,9,0)</f>
        <v>1</v>
      </c>
      <c r="H12" s="66" t="str">
        <f>VLOOKUP($D12,잔업시간!$D$3:'잔업시간'!$M$24,10,0)</f>
        <v>현업</v>
      </c>
      <c r="I12" s="70"/>
    </row>
    <row r="13" spans="1:10" ht="30" customHeight="1" x14ac:dyDescent="0.3">
      <c r="A13" s="65">
        <f t="shared" si="0"/>
        <v>8</v>
      </c>
      <c r="B13" s="128" t="s">
        <v>105</v>
      </c>
      <c r="C13" s="66" t="s">
        <v>109</v>
      </c>
      <c r="D13" s="66" t="s">
        <v>66</v>
      </c>
      <c r="E13" s="66">
        <f>VLOOKUP($D13,잔업시간!$D$3:'잔업시간'!$M$24,7,0)</f>
        <v>36</v>
      </c>
      <c r="F13" s="66">
        <f>VLOOKUP($D13,잔업시간!$D$3:'잔업시간'!$M$24,8,0)</f>
        <v>4</v>
      </c>
      <c r="G13" s="66">
        <f>VLOOKUP($D13,잔업시간!$D$3:'잔업시간'!$M$24,9,0)</f>
        <v>1</v>
      </c>
      <c r="H13" s="66" t="str">
        <f>VLOOKUP($D13,잔업시간!$D$3:'잔업시간'!$M$24,10,0)</f>
        <v>현업</v>
      </c>
      <c r="I13" s="70"/>
    </row>
    <row r="14" spans="1:10" ht="30" customHeight="1" x14ac:dyDescent="0.3">
      <c r="A14" s="65">
        <f t="shared" si="0"/>
        <v>9</v>
      </c>
      <c r="B14" s="128" t="s">
        <v>105</v>
      </c>
      <c r="C14" s="66" t="s">
        <v>109</v>
      </c>
      <c r="D14" s="66" t="s">
        <v>65</v>
      </c>
      <c r="E14" s="66">
        <f>VLOOKUP($D14,잔업시간!$D$3:'잔업시간'!$M$24,7,0)</f>
        <v>36</v>
      </c>
      <c r="F14" s="66">
        <f>VLOOKUP($D14,잔업시간!$D$3:'잔업시간'!$M$24,8,0)</f>
        <v>4</v>
      </c>
      <c r="G14" s="66">
        <f>VLOOKUP($D14,잔업시간!$D$3:'잔업시간'!$M$24,9,0)</f>
        <v>2</v>
      </c>
      <c r="H14" s="66" t="str">
        <f>VLOOKUP($D14,잔업시간!$D$3:'잔업시간'!$M$24,10,0)</f>
        <v>현업</v>
      </c>
      <c r="I14" s="71"/>
    </row>
    <row r="15" spans="1:10" ht="30" customHeight="1" x14ac:dyDescent="0.3">
      <c r="A15" s="65">
        <f t="shared" si="0"/>
        <v>10</v>
      </c>
      <c r="B15" s="128" t="s">
        <v>105</v>
      </c>
      <c r="C15" s="66" t="s">
        <v>110</v>
      </c>
      <c r="D15" s="66" t="s">
        <v>64</v>
      </c>
      <c r="E15" s="66">
        <f>VLOOKUP($D15,잔업시간!$D$3:'잔업시간'!$M$24,7,0)</f>
        <v>51</v>
      </c>
      <c r="F15" s="66">
        <f>VLOOKUP($D15,잔업시간!$D$3:'잔업시간'!$M$24,8,0)</f>
        <v>5</v>
      </c>
      <c r="G15" s="66">
        <f>VLOOKUP($D15,잔업시간!$D$3:'잔업시간'!$M$24,9,0)</f>
        <v>2</v>
      </c>
      <c r="H15" s="66" t="str">
        <f>VLOOKUP($D15,잔업시간!$D$3:'잔업시간'!$M$24,10,0)</f>
        <v>현업</v>
      </c>
      <c r="I15" s="70"/>
    </row>
    <row r="16" spans="1:10" ht="30" customHeight="1" x14ac:dyDescent="0.3">
      <c r="A16" s="65">
        <f t="shared" si="0"/>
        <v>11</v>
      </c>
      <c r="B16" s="128" t="s">
        <v>105</v>
      </c>
      <c r="C16" s="66" t="s">
        <v>111</v>
      </c>
      <c r="D16" s="66" t="s">
        <v>63</v>
      </c>
      <c r="E16" s="66">
        <f>VLOOKUP($D16,잔업시간!$D$3:'잔업시간'!$M$24,7,0)</f>
        <v>7</v>
      </c>
      <c r="F16" s="66">
        <f>VLOOKUP($D16,잔업시간!$D$3:'잔업시간'!$M$24,8,0)</f>
        <v>1</v>
      </c>
      <c r="G16" s="66">
        <f>VLOOKUP($D16,잔업시간!$D$3:'잔업시간'!$M$24,9,0)</f>
        <v>0</v>
      </c>
      <c r="H16" s="66" t="str">
        <f>VLOOKUP($D16,잔업시간!$D$3:'잔업시간'!$M$24,10,0)</f>
        <v>현업</v>
      </c>
      <c r="I16" s="67"/>
    </row>
    <row r="17" spans="1:9" ht="30" customHeight="1" x14ac:dyDescent="0.3">
      <c r="A17" s="65">
        <f t="shared" si="0"/>
        <v>12</v>
      </c>
      <c r="B17" s="128" t="s">
        <v>105</v>
      </c>
      <c r="C17" s="66" t="s">
        <v>111</v>
      </c>
      <c r="D17" s="66" t="s">
        <v>144</v>
      </c>
      <c r="E17" s="66">
        <f>VLOOKUP($D17,잔업시간!$D$3:'잔업시간'!$M$24,7,0)</f>
        <v>21</v>
      </c>
      <c r="F17" s="66">
        <f>VLOOKUP($D17,잔업시간!$D$3:'잔업시간'!$M$24,8,0)</f>
        <v>3</v>
      </c>
      <c r="G17" s="66">
        <f>VLOOKUP($D17,잔업시간!$D$3:'잔업시간'!$M$24,9,0)</f>
        <v>0</v>
      </c>
      <c r="H17" s="66" t="str">
        <f>VLOOKUP($D17,잔업시간!$D$3:'잔업시간'!$M$24,10,0)</f>
        <v>현업</v>
      </c>
      <c r="I17" s="70"/>
    </row>
    <row r="18" spans="1:9" ht="30" customHeight="1" x14ac:dyDescent="0.3">
      <c r="A18" s="65">
        <f t="shared" si="0"/>
        <v>13</v>
      </c>
      <c r="B18" s="128" t="s">
        <v>105</v>
      </c>
      <c r="C18" s="66" t="s">
        <v>112</v>
      </c>
      <c r="D18" s="66" t="s">
        <v>62</v>
      </c>
      <c r="E18" s="66">
        <f>VLOOKUP($D18,잔업시간!$D$3:'잔업시간'!$M$24,7,0)</f>
        <v>44</v>
      </c>
      <c r="F18" s="66">
        <f>VLOOKUP($D18,잔업시간!$D$3:'잔업시간'!$M$24,8,0)</f>
        <v>4</v>
      </c>
      <c r="G18" s="66">
        <f>VLOOKUP($D18,잔업시간!$D$3:'잔업시간'!$M$24,9,0)</f>
        <v>1</v>
      </c>
      <c r="H18" s="66" t="str">
        <f>VLOOKUP($D18,잔업시간!$D$3:'잔업시간'!$M$24,10,0)</f>
        <v>현업</v>
      </c>
      <c r="I18" s="70"/>
    </row>
    <row r="19" spans="1:9" ht="30" customHeight="1" x14ac:dyDescent="0.3">
      <c r="A19" s="65">
        <f t="shared" si="0"/>
        <v>14</v>
      </c>
      <c r="B19" s="128" t="s">
        <v>105</v>
      </c>
      <c r="C19" s="66" t="s">
        <v>112</v>
      </c>
      <c r="D19" s="66" t="s">
        <v>61</v>
      </c>
      <c r="E19" s="66">
        <f>VLOOKUP($D19,잔업시간!$D$3:'잔업시간'!$M$24,7,0)</f>
        <v>36</v>
      </c>
      <c r="F19" s="66">
        <f>VLOOKUP($D19,잔업시간!$D$3:'잔업시간'!$M$24,8,0)</f>
        <v>4</v>
      </c>
      <c r="G19" s="66">
        <f>VLOOKUP($D19,잔업시간!$D$3:'잔업시간'!$M$24,9,0)</f>
        <v>2</v>
      </c>
      <c r="H19" s="66" t="str">
        <f>VLOOKUP($D19,잔업시간!$D$3:'잔업시간'!$M$24,10,0)</f>
        <v>현업</v>
      </c>
      <c r="I19" s="70"/>
    </row>
    <row r="20" spans="1:9" ht="30" customHeight="1" x14ac:dyDescent="0.3">
      <c r="A20" s="65">
        <f t="shared" si="0"/>
        <v>15</v>
      </c>
      <c r="B20" s="128" t="s">
        <v>105</v>
      </c>
      <c r="C20" s="66" t="s">
        <v>112</v>
      </c>
      <c r="D20" s="66" t="s">
        <v>60</v>
      </c>
      <c r="E20" s="66">
        <f>VLOOKUP($D20,잔업시간!$D$3:'잔업시간'!$M$24,7,0)</f>
        <v>29</v>
      </c>
      <c r="F20" s="66">
        <f>VLOOKUP($D20,잔업시간!$D$3:'잔업시간'!$M$24,8,0)</f>
        <v>3</v>
      </c>
      <c r="G20" s="66">
        <f>VLOOKUP($D20,잔업시간!$D$3:'잔업시간'!$M$24,9,0)</f>
        <v>1</v>
      </c>
      <c r="H20" s="66" t="str">
        <f>VLOOKUP($D20,잔업시간!$D$3:'잔업시간'!$M$24,10,0)</f>
        <v>현업</v>
      </c>
      <c r="I20" s="70"/>
    </row>
    <row r="21" spans="1:9" ht="30" customHeight="1" x14ac:dyDescent="0.3">
      <c r="A21" s="65">
        <f t="shared" si="0"/>
        <v>16</v>
      </c>
      <c r="B21" s="128" t="s">
        <v>105</v>
      </c>
      <c r="C21" s="66" t="s">
        <v>112</v>
      </c>
      <c r="D21" s="66" t="s">
        <v>59</v>
      </c>
      <c r="E21" s="66">
        <f>VLOOKUP($D21,잔업시간!$D$3:'잔업시간'!$M$24,7,0)</f>
        <v>0</v>
      </c>
      <c r="F21" s="66">
        <f>VLOOKUP($D21,잔업시간!$D$3:'잔업시간'!$M$24,8,0)</f>
        <v>0</v>
      </c>
      <c r="G21" s="66">
        <f>VLOOKUP($D21,잔업시간!$D$3:'잔업시간'!$M$24,9,0)</f>
        <v>0</v>
      </c>
      <c r="H21" s="66" t="str">
        <f>VLOOKUP($D21,잔업시간!$D$3:'잔업시간'!$M$24,10,0)</f>
        <v>현업</v>
      </c>
      <c r="I21" s="70"/>
    </row>
    <row r="22" spans="1:9" ht="30" customHeight="1" x14ac:dyDescent="0.3">
      <c r="A22" s="65">
        <f t="shared" si="0"/>
        <v>17</v>
      </c>
      <c r="B22" s="128" t="s">
        <v>105</v>
      </c>
      <c r="C22" s="66" t="s">
        <v>111</v>
      </c>
      <c r="D22" s="66" t="s">
        <v>58</v>
      </c>
      <c r="E22" s="66">
        <f>VLOOKUP($D22,잔업시간!$D$3:'잔업시간'!$M$24,7,0)</f>
        <v>43</v>
      </c>
      <c r="F22" s="66">
        <f>VLOOKUP($D22,잔업시간!$D$3:'잔업시간'!$M$24,8,0)</f>
        <v>5</v>
      </c>
      <c r="G22" s="66">
        <f>VLOOKUP($D22,잔업시간!$D$3:'잔업시간'!$M$24,9,0)</f>
        <v>2</v>
      </c>
      <c r="H22" s="66" t="str">
        <f>VLOOKUP($D22,잔업시간!$D$3:'잔업시간'!$M$24,10,0)</f>
        <v>현업</v>
      </c>
      <c r="I22" s="67"/>
    </row>
    <row r="23" spans="1:9" ht="30" customHeight="1" x14ac:dyDescent="0.3">
      <c r="A23" s="65">
        <f t="shared" si="0"/>
        <v>18</v>
      </c>
      <c r="B23" s="128" t="s">
        <v>105</v>
      </c>
      <c r="C23" s="66" t="s">
        <v>111</v>
      </c>
      <c r="D23" s="66" t="s">
        <v>57</v>
      </c>
      <c r="E23" s="66">
        <f>VLOOKUP($D23,잔업시간!$D$3:'잔업시간'!$M$24,7,0)</f>
        <v>29</v>
      </c>
      <c r="F23" s="66">
        <f>VLOOKUP($D23,잔업시간!$D$3:'잔업시간'!$M$24,8,0)</f>
        <v>3</v>
      </c>
      <c r="G23" s="66">
        <f>VLOOKUP($D23,잔업시간!$D$3:'잔업시간'!$M$24,9,0)</f>
        <v>1</v>
      </c>
      <c r="H23" s="66" t="str">
        <f>VLOOKUP($D23,잔업시간!$D$3:'잔업시간'!$M$24,10,0)</f>
        <v>현업</v>
      </c>
      <c r="I23" s="67"/>
    </row>
    <row r="24" spans="1:9" ht="30" customHeight="1" x14ac:dyDescent="0.3">
      <c r="A24" s="65">
        <f t="shared" si="0"/>
        <v>19</v>
      </c>
      <c r="B24" s="128" t="s">
        <v>105</v>
      </c>
      <c r="C24" s="66" t="s">
        <v>113</v>
      </c>
      <c r="D24" s="66" t="s">
        <v>56</v>
      </c>
      <c r="E24" s="66">
        <f>VLOOKUP($D24,잔업시간!$D$3:'잔업시간'!$M$24,7,0)</f>
        <v>44</v>
      </c>
      <c r="F24" s="66">
        <f>VLOOKUP($D24,잔업시간!$D$3:'잔업시간'!$M$24,8,0)</f>
        <v>4</v>
      </c>
      <c r="G24" s="66">
        <f>VLOOKUP($D24,잔업시간!$D$3:'잔업시간'!$M$24,9,0)</f>
        <v>1</v>
      </c>
      <c r="H24" s="66" t="str">
        <f>VLOOKUP($D24,잔업시간!$D$3:'잔업시간'!$M$24,10,0)</f>
        <v>현업</v>
      </c>
      <c r="I24" s="67"/>
    </row>
    <row r="25" spans="1:9" ht="30" customHeight="1" x14ac:dyDescent="0.3">
      <c r="A25" s="65">
        <f t="shared" si="0"/>
        <v>20</v>
      </c>
      <c r="B25" s="128" t="s">
        <v>105</v>
      </c>
      <c r="C25" s="66" t="s">
        <v>114</v>
      </c>
      <c r="D25" s="66" t="s">
        <v>55</v>
      </c>
      <c r="E25" s="66">
        <f>VLOOKUP($D25,잔업시간!$D$3:'잔업시간'!$M$24,7,0)</f>
        <v>36</v>
      </c>
      <c r="F25" s="66">
        <f>VLOOKUP($D25,잔업시간!$D$3:'잔업시간'!$M$24,8,0)</f>
        <v>4</v>
      </c>
      <c r="G25" s="66">
        <f>VLOOKUP($D25,잔업시간!$D$3:'잔업시간'!$M$24,9,0)</f>
        <v>1</v>
      </c>
      <c r="H25" s="66" t="str">
        <f>VLOOKUP($D25,잔업시간!$D$3:'잔업시간'!$M$24,10,0)</f>
        <v>현업</v>
      </c>
      <c r="I25" s="70"/>
    </row>
    <row r="26" spans="1:9" ht="30" customHeight="1" x14ac:dyDescent="0.3">
      <c r="A26" s="65">
        <f t="shared" si="0"/>
        <v>21</v>
      </c>
      <c r="B26" s="128" t="s">
        <v>105</v>
      </c>
      <c r="C26" s="66" t="s">
        <v>114</v>
      </c>
      <c r="D26" s="66" t="s">
        <v>54</v>
      </c>
      <c r="E26" s="66">
        <f>VLOOKUP($D26,잔업시간!$D$3:'잔업시간'!$M$24,7,0)</f>
        <v>36</v>
      </c>
      <c r="F26" s="66">
        <f>VLOOKUP($D26,잔업시간!$D$3:'잔업시간'!$M$24,8,0)</f>
        <v>4</v>
      </c>
      <c r="G26" s="66">
        <f>VLOOKUP($D26,잔업시간!$D$3:'잔업시간'!$M$24,9,0)</f>
        <v>2</v>
      </c>
      <c r="H26" s="66" t="str">
        <f>VLOOKUP($D26,잔업시간!$D$3:'잔업시간'!$M$24,10,0)</f>
        <v>현업</v>
      </c>
      <c r="I26" s="67"/>
    </row>
    <row r="27" spans="1:9" ht="30" customHeight="1" thickBot="1" x14ac:dyDescent="0.35">
      <c r="A27" s="72">
        <f t="shared" si="0"/>
        <v>22</v>
      </c>
      <c r="B27" s="129" t="s">
        <v>105</v>
      </c>
      <c r="C27" s="73" t="s">
        <v>114</v>
      </c>
      <c r="D27" s="73" t="s">
        <v>53</v>
      </c>
      <c r="E27" s="73">
        <f>VLOOKUP($D27,잔업시간!$D$3:'잔업시간'!$M$24,7,0)</f>
        <v>52</v>
      </c>
      <c r="F27" s="73">
        <f>VLOOKUP($D27,잔업시간!$D$3:'잔업시간'!$M$24,8,0)</f>
        <v>4</v>
      </c>
      <c r="G27" s="73">
        <f>VLOOKUP($D27,잔업시간!$D$3:'잔업시간'!$M$24,9,0)</f>
        <v>1</v>
      </c>
      <c r="H27" s="73" t="str">
        <f>VLOOKUP($D27,잔업시간!$D$3:'잔업시간'!$M$24,10,0)</f>
        <v>현업</v>
      </c>
      <c r="I27" s="74"/>
    </row>
    <row r="28" spans="1:9" ht="16.5" customHeight="1" thickBot="1" x14ac:dyDescent="0.35">
      <c r="A28" s="120"/>
      <c r="B28" s="120"/>
      <c r="C28" s="75"/>
      <c r="D28" s="75"/>
      <c r="E28" s="75"/>
      <c r="F28" s="75"/>
      <c r="G28" s="75"/>
      <c r="H28" s="75"/>
      <c r="I28" s="60"/>
    </row>
    <row r="29" spans="1:9" ht="41.25" customHeight="1" x14ac:dyDescent="0.3">
      <c r="C29" s="76" t="s">
        <v>127</v>
      </c>
      <c r="D29" s="77" t="s">
        <v>128</v>
      </c>
      <c r="E29" s="77" t="s">
        <v>129</v>
      </c>
      <c r="F29" s="77" t="s">
        <v>130</v>
      </c>
      <c r="G29" s="77" t="s">
        <v>131</v>
      </c>
      <c r="H29" s="78" t="s">
        <v>132</v>
      </c>
      <c r="I29" s="79"/>
    </row>
    <row r="30" spans="1:9" ht="30" customHeight="1" x14ac:dyDescent="0.3">
      <c r="C30" s="80" t="s">
        <v>133</v>
      </c>
      <c r="D30" s="81">
        <v>17</v>
      </c>
      <c r="E30" s="81">
        <f>SUM(E11:E27)</f>
        <v>580</v>
      </c>
      <c r="F30" s="81">
        <f>MAX(E11:E27)</f>
        <v>52</v>
      </c>
      <c r="G30" s="81">
        <f>MIN(E11:E27)</f>
        <v>0</v>
      </c>
      <c r="H30" s="82">
        <f>ROUND(E30/D30, 2)</f>
        <v>34.119999999999997</v>
      </c>
    </row>
    <row r="31" spans="1:9" ht="30" customHeight="1" x14ac:dyDescent="0.3">
      <c r="C31" s="80" t="s">
        <v>134</v>
      </c>
      <c r="D31" s="81">
        <v>4</v>
      </c>
      <c r="E31" s="81">
        <f>SUM(E6:E10)</f>
        <v>0</v>
      </c>
      <c r="F31" s="81">
        <f>MAX(E6:E10)</f>
        <v>0</v>
      </c>
      <c r="G31" s="81">
        <f>MIN(E6:E10)</f>
        <v>0</v>
      </c>
      <c r="H31" s="82">
        <f>ROUND(E31/D31, 2)</f>
        <v>0</v>
      </c>
    </row>
    <row r="32" spans="1:9" ht="30" customHeight="1" thickBot="1" x14ac:dyDescent="0.35">
      <c r="C32" s="83" t="s">
        <v>135</v>
      </c>
      <c r="D32" s="84">
        <f>SUM(D30:D31)</f>
        <v>21</v>
      </c>
      <c r="E32" s="84">
        <f>SUM(E30:E31)</f>
        <v>580</v>
      </c>
      <c r="F32" s="171" t="s">
        <v>136</v>
      </c>
      <c r="G32" s="171"/>
      <c r="H32" s="85">
        <f>ROUND(E32/D32, 2)</f>
        <v>27.62</v>
      </c>
    </row>
  </sheetData>
  <mergeCells count="14">
    <mergeCell ref="E4:E5"/>
    <mergeCell ref="F4:F5"/>
    <mergeCell ref="G4:G5"/>
    <mergeCell ref="F32:G32"/>
    <mergeCell ref="A1:I1"/>
    <mergeCell ref="A2:C2"/>
    <mergeCell ref="G2:H2"/>
    <mergeCell ref="A3:A5"/>
    <mergeCell ref="B3:B5"/>
    <mergeCell ref="C3:C5"/>
    <mergeCell ref="D3:D5"/>
    <mergeCell ref="E3:G3"/>
    <mergeCell ref="H3:H5"/>
    <mergeCell ref="I3:I5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6" fitToHeight="0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159DC-328E-43A3-A765-14A37085FDD5}">
  <dimension ref="B1:C1"/>
  <sheetViews>
    <sheetView workbookViewId="0">
      <pane ySplit="1" topLeftCell="A2" activePane="bottomLeft" state="frozen"/>
      <selection pane="bottomLeft" activeCell="B2" sqref="B2"/>
    </sheetView>
  </sheetViews>
  <sheetFormatPr defaultRowHeight="16.5" x14ac:dyDescent="0.3"/>
  <cols>
    <col min="2" max="2" width="9" style="134"/>
    <col min="3" max="3" width="9" style="135"/>
  </cols>
  <sheetData>
    <row r="1" spans="2:3" ht="17.25" thickBot="1" x14ac:dyDescent="0.35">
      <c r="B1" s="137" t="s">
        <v>145</v>
      </c>
      <c r="C1" s="136" t="s">
        <v>146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EB51A1-7829-41A6-A44B-4F73869067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달력</vt:lpstr>
      <vt:lpstr>숙직근무자</vt:lpstr>
      <vt:lpstr>공휴일</vt:lpstr>
      <vt:lpstr>야근횟수&amp;비번</vt:lpstr>
      <vt:lpstr>잔업시간</vt:lpstr>
      <vt:lpstr>의료과 개인별 초과근무내역</vt:lpstr>
      <vt:lpstr>중식</vt:lpstr>
      <vt:lpstr>달력!Print_Area</vt:lpstr>
      <vt:lpstr>숙직근무자!Print_Area</vt:lpstr>
      <vt:lpstr>'야근횟수&amp;비번'!Print_Area</vt:lpstr>
      <vt:lpstr>'의료과 개인별 초과근무내역'!Print_Area</vt:lpstr>
      <vt:lpstr>잔업시간!Print_Area</vt:lpstr>
      <vt:lpstr>'의료과 개인별 초과근무내역'!Print_Titles</vt:lpstr>
      <vt:lpstr>잔업시간!Print_Titles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2026-07-22T07:27:06Z</cp:lastPrinted>
  <dcterms:created xsi:type="dcterms:W3CDTF">2026-07-21T01:27:56Z</dcterms:created>
  <dcterms:modified xsi:type="dcterms:W3CDTF">2026-09-03T05:26:56Z</dcterms:modified>
</cp:coreProperties>
</file>